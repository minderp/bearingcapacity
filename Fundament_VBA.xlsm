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105" windowWidth="27315" windowHeight="14115"/>
  </bookViews>
  <sheets>
    <sheet name="Tabelle1" sheetId="1" r:id="rId1"/>
    <sheet name="Tabelle2" sheetId="2" r:id="rId2"/>
    <sheet name="Tabelle3" sheetId="3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N10" i="1" l="1"/>
  <c r="N12" i="1"/>
  <c r="N13" i="1"/>
  <c r="N14" i="1"/>
  <c r="N11" i="1"/>
  <c r="N9" i="1"/>
  <c r="M10" i="1"/>
  <c r="M12" i="1"/>
  <c r="M13" i="1"/>
  <c r="M14" i="1"/>
  <c r="M11" i="1"/>
  <c r="M9" i="1"/>
  <c r="O10" i="1" l="1"/>
  <c r="O13" i="1"/>
  <c r="O12" i="1"/>
  <c r="O14" i="1"/>
  <c r="O9" i="1"/>
  <c r="O11" i="1" l="1"/>
</calcChain>
</file>

<file path=xl/sharedStrings.xml><?xml version="1.0" encoding="utf-8"?>
<sst xmlns="http://schemas.openxmlformats.org/spreadsheetml/2006/main" count="40" uniqueCount="31">
  <si>
    <t>Grundbruchnachweis nach LHAP</t>
  </si>
  <si>
    <t>Einwirkung</t>
  </si>
  <si>
    <t>Geometrie</t>
  </si>
  <si>
    <t>Boden</t>
  </si>
  <si>
    <t>Widerstand</t>
  </si>
  <si>
    <t>Grundbruch</t>
  </si>
  <si>
    <t>F1 (x)</t>
  </si>
  <si>
    <t>F2 (y)</t>
  </si>
  <si>
    <t>F3 (z)</t>
  </si>
  <si>
    <t>exz_x</t>
  </si>
  <si>
    <t>exc_y</t>
  </si>
  <si>
    <t>b</t>
  </si>
  <si>
    <t>l</t>
  </si>
  <si>
    <t>t</t>
  </si>
  <si>
    <t>c</t>
  </si>
  <si>
    <t>phi,k</t>
  </si>
  <si>
    <t>γ</t>
  </si>
  <si>
    <t>F3,R</t>
  </si>
  <si>
    <t>SF</t>
  </si>
  <si>
    <t>kN</t>
  </si>
  <si>
    <t>m</t>
  </si>
  <si>
    <t>kPa</t>
  </si>
  <si>
    <t>grad</t>
  </si>
  <si>
    <t>kN/m3</t>
  </si>
  <si>
    <t>Fundament 1</t>
  </si>
  <si>
    <t>Fundament 2</t>
  </si>
  <si>
    <t>Fundament 2 Anprall</t>
  </si>
  <si>
    <t>Mechanismus</t>
  </si>
  <si>
    <t>x</t>
  </si>
  <si>
    <t>y</t>
  </si>
  <si>
    <t>=Grundbruch(c;phi;gamma;q_soil;t_soil;B;L;omega;eB;eL;beta;alpha;Fresb)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</si>
</sst>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0" fontId="0" fillId="5" borderId="4" xfId="0" applyFill="1" applyBorder="1"/>
    <xf numFmtId="0" fontId="0" fillId="6" borderId="0" xfId="0" applyFill="1" applyBorder="1"/>
    <xf numFmtId="1" fontId="0" fillId="0" borderId="0" xfId="0" applyNumberFormat="1" applyBorder="1"/>
    <xf numFmtId="2" fontId="0" fillId="5" borderId="0" xfId="0" applyNumberFormat="1" applyFill="1" applyBorder="1"/>
    <xf numFmtId="2" fontId="0" fillId="6" borderId="5" xfId="0" applyNumberForma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2" fontId="0" fillId="0" borderId="0" xfId="0" applyNumberFormat="1"/>
    <xf numFmtId="0" fontId="0" fillId="4" borderId="6" xfId="0" applyFill="1" applyBorder="1"/>
    <xf numFmtId="0" fontId="0" fillId="5" borderId="7" xfId="0" applyFill="1" applyBorder="1"/>
    <xf numFmtId="0" fontId="0" fillId="6" borderId="6" xfId="0" applyFill="1" applyBorder="1"/>
    <xf numFmtId="1" fontId="0" fillId="0" borderId="6" xfId="0" applyNumberFormat="1" applyBorder="1"/>
    <xf numFmtId="2" fontId="0" fillId="5" borderId="6" xfId="0" applyNumberFormat="1" applyFill="1" applyBorder="1"/>
    <xf numFmtId="2" fontId="0" fillId="6" borderId="8" xfId="0" applyNumberFormat="1" applyFill="1" applyBorder="1"/>
    <xf numFmtId="0" fontId="0" fillId="0" borderId="8" xfId="0" applyBorder="1"/>
    <xf numFmtId="0" fontId="0" fillId="4" borderId="7" xfId="0" applyFill="1" applyBorder="1"/>
    <xf numFmtId="1" fontId="0" fillId="5" borderId="0" xfId="0" applyNumberFormat="1" applyFill="1"/>
    <xf numFmtId="1" fontId="0" fillId="6" borderId="0" xfId="0" applyNumberFormat="1" applyFill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6" borderId="0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5" xfId="0" applyFont="1" applyBorder="1" applyAlignment="1">
      <alignment horizontal="center"/>
    </xf>
    <xf numFmtId="1" fontId="0" fillId="0" borderId="0" xfId="0" quotePrefix="1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v624\AppData\Roaming\Microsoft\AddIns\My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  <sheetName val="Foglio2"/>
      <sheetName val="Foglio3"/>
    </sheetNames>
    <definedNames>
      <definedName name="Grundbru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O25"/>
  <sheetViews>
    <sheetView tabSelected="1" workbookViewId="0">
      <selection activeCell="B12" sqref="B12"/>
    </sheetView>
  </sheetViews>
  <sheetFormatPr baseColWidth="10" defaultRowHeight="15" x14ac:dyDescent="0.25"/>
  <cols>
    <col min="1" max="1" width="29.7109375" bestFit="1" customWidth="1"/>
    <col min="2" max="15" width="7.7109375" customWidth="1"/>
  </cols>
  <sheetData>
    <row r="1" spans="1:15" x14ac:dyDescent="0.25">
      <c r="A1" t="s">
        <v>0</v>
      </c>
    </row>
    <row r="2" spans="1:15" x14ac:dyDescent="0.25">
      <c r="A2" s="47" t="s">
        <v>30</v>
      </c>
    </row>
    <row r="3" spans="1:15" x14ac:dyDescent="0.25">
      <c r="A3" s="47"/>
    </row>
    <row r="4" spans="1:15" x14ac:dyDescent="0.25">
      <c r="A4" s="47"/>
      <c r="M4" t="s">
        <v>27</v>
      </c>
    </row>
    <row r="5" spans="1:15" x14ac:dyDescent="0.25">
      <c r="A5" s="47"/>
      <c r="M5" t="s">
        <v>28</v>
      </c>
      <c r="N5" t="s">
        <v>29</v>
      </c>
    </row>
    <row r="6" spans="1:15" x14ac:dyDescent="0.25">
      <c r="B6" s="7" t="s">
        <v>3</v>
      </c>
      <c r="C6" s="8"/>
      <c r="D6" s="9"/>
      <c r="E6" s="4" t="s">
        <v>2</v>
      </c>
      <c r="F6" s="5"/>
      <c r="G6" s="6"/>
      <c r="H6" s="1" t="s">
        <v>1</v>
      </c>
      <c r="I6" s="2"/>
      <c r="J6" s="2"/>
      <c r="K6" s="2"/>
      <c r="L6" s="3"/>
      <c r="M6" s="34" t="s">
        <v>4</v>
      </c>
      <c r="N6" s="33"/>
      <c r="O6" t="s">
        <v>5</v>
      </c>
    </row>
    <row r="7" spans="1:15" x14ac:dyDescent="0.25">
      <c r="B7" s="44" t="s">
        <v>14</v>
      </c>
      <c r="C7" s="45" t="s">
        <v>15</v>
      </c>
      <c r="D7" s="46" t="s">
        <v>16</v>
      </c>
      <c r="E7" s="41" t="s">
        <v>11</v>
      </c>
      <c r="F7" s="42" t="s">
        <v>12</v>
      </c>
      <c r="G7" s="43" t="s">
        <v>13</v>
      </c>
      <c r="H7" s="10" t="s">
        <v>6</v>
      </c>
      <c r="I7" s="11" t="s">
        <v>7</v>
      </c>
      <c r="J7" s="11" t="s">
        <v>8</v>
      </c>
      <c r="K7" s="11" t="s">
        <v>9</v>
      </c>
      <c r="L7" s="12" t="s">
        <v>10</v>
      </c>
      <c r="M7" s="13" t="s">
        <v>17</v>
      </c>
      <c r="N7" s="13" t="s">
        <v>17</v>
      </c>
      <c r="O7" t="s">
        <v>18</v>
      </c>
    </row>
    <row r="8" spans="1:15" x14ac:dyDescent="0.25">
      <c r="B8" s="44" t="s">
        <v>21</v>
      </c>
      <c r="C8" s="45" t="s">
        <v>22</v>
      </c>
      <c r="D8" s="35" t="s">
        <v>23</v>
      </c>
      <c r="E8" s="44" t="s">
        <v>20</v>
      </c>
      <c r="F8" s="45" t="s">
        <v>20</v>
      </c>
      <c r="G8" s="35" t="s">
        <v>20</v>
      </c>
      <c r="H8" s="10" t="s">
        <v>19</v>
      </c>
      <c r="I8" s="11" t="s">
        <v>19</v>
      </c>
      <c r="J8" s="11" t="s">
        <v>19</v>
      </c>
      <c r="K8" s="11" t="s">
        <v>20</v>
      </c>
      <c r="L8" s="12" t="s">
        <v>20</v>
      </c>
      <c r="M8" t="s">
        <v>19</v>
      </c>
      <c r="N8" t="s">
        <v>19</v>
      </c>
    </row>
    <row r="9" spans="1:15" x14ac:dyDescent="0.25">
      <c r="A9" t="s">
        <v>24</v>
      </c>
      <c r="B9" s="36">
        <v>0</v>
      </c>
      <c r="C9" s="37">
        <v>27</v>
      </c>
      <c r="D9" s="38">
        <v>18</v>
      </c>
      <c r="E9" s="39">
        <v>2</v>
      </c>
      <c r="F9" s="40">
        <v>4.55</v>
      </c>
      <c r="G9" s="35">
        <v>0.9</v>
      </c>
      <c r="H9" s="14">
        <v>10</v>
      </c>
      <c r="I9" s="15">
        <v>20</v>
      </c>
      <c r="J9" s="16">
        <v>500</v>
      </c>
      <c r="K9" s="17">
        <v>0.2</v>
      </c>
      <c r="L9" s="18">
        <v>0.1</v>
      </c>
      <c r="M9" s="31">
        <f>[1]!Grundbruch(B9,C9,D9,G9*D9,G9,E9,F9,ATAN(H9/J9)*180/PI(),K9,L9)</f>
        <v>1540.1312243904301</v>
      </c>
      <c r="N9" s="32">
        <f>[1]!Grundbruch(B9,C9,D9,G9*D9,G9,F9,E9,ATAN(I9/J9)*180/PI(),L9,K9)</f>
        <v>1997.8061147126007</v>
      </c>
      <c r="O9" s="22">
        <f>MIN(M9:N9)/J9</f>
        <v>3.0802624487808603</v>
      </c>
    </row>
    <row r="10" spans="1:15" x14ac:dyDescent="0.25">
      <c r="A10" t="s">
        <v>25</v>
      </c>
      <c r="B10" s="36">
        <v>0</v>
      </c>
      <c r="C10" s="37">
        <v>27</v>
      </c>
      <c r="D10" s="38">
        <v>18</v>
      </c>
      <c r="E10" s="39">
        <v>2</v>
      </c>
      <c r="F10" s="40">
        <v>4.55</v>
      </c>
      <c r="G10" s="35">
        <v>0.9</v>
      </c>
      <c r="H10" s="14">
        <v>50</v>
      </c>
      <c r="I10" s="15">
        <v>0</v>
      </c>
      <c r="J10" s="16">
        <v>500</v>
      </c>
      <c r="K10" s="17">
        <v>0.2</v>
      </c>
      <c r="L10" s="18">
        <v>0.4</v>
      </c>
      <c r="M10" s="31">
        <f>[1]!Grundbruch(B10,C10,D10,G10*D10,G10,E10,F10,ATAN(H10/J10)*180/PI(),K10,L10)</f>
        <v>1077.1471512030448</v>
      </c>
      <c r="N10" s="32">
        <f>[1]!Grundbruch(B10,C10,D10,G10*D10,G10,F10,E10,ATAN(I10/J10)*180/PI(),L10,K10)</f>
        <v>1825.6200654565764</v>
      </c>
      <c r="O10" s="22">
        <f>MIN(M10:N10)/J10</f>
        <v>2.1542943024060897</v>
      </c>
    </row>
    <row r="11" spans="1:15" x14ac:dyDescent="0.25">
      <c r="A11" t="s">
        <v>26</v>
      </c>
      <c r="B11" s="36">
        <v>0</v>
      </c>
      <c r="C11" s="37">
        <v>27</v>
      </c>
      <c r="D11" s="38">
        <v>18</v>
      </c>
      <c r="E11" s="39">
        <v>2</v>
      </c>
      <c r="F11" s="40">
        <v>4.55</v>
      </c>
      <c r="G11" s="35">
        <v>0.9</v>
      </c>
      <c r="H11" s="14">
        <v>10</v>
      </c>
      <c r="I11" s="15">
        <v>200</v>
      </c>
      <c r="J11" s="16">
        <v>500</v>
      </c>
      <c r="K11" s="17">
        <v>0.2</v>
      </c>
      <c r="L11" s="18">
        <v>0.5</v>
      </c>
      <c r="M11" s="31">
        <f>[1]!Grundbruch(B11,C11,D11,G11*D11,G11,E11,F11,ATAN(H11/J11)*180/PI(),K11,L11)</f>
        <v>1278.6462241078098</v>
      </c>
      <c r="N11" s="32">
        <f>[1]!Grundbruch(B11,C11,D11,G11*D11,G11,F11,E11,ATAN(I11/J11)*180/PI(),L11,K11)</f>
        <v>553.84173674595206</v>
      </c>
      <c r="O11" s="22">
        <f>MIN(M11:N11)/J11</f>
        <v>1.1076834734919041</v>
      </c>
    </row>
    <row r="12" spans="1:15" x14ac:dyDescent="0.25">
      <c r="B12" s="36">
        <v>0</v>
      </c>
      <c r="C12" s="37">
        <v>27</v>
      </c>
      <c r="D12" s="38">
        <v>18</v>
      </c>
      <c r="E12" s="39">
        <v>4</v>
      </c>
      <c r="F12" s="40">
        <v>4</v>
      </c>
      <c r="G12" s="35">
        <v>0.9</v>
      </c>
      <c r="H12" s="14">
        <v>10</v>
      </c>
      <c r="I12" s="15">
        <v>20</v>
      </c>
      <c r="J12" s="16">
        <v>500</v>
      </c>
      <c r="K12" s="17">
        <v>0.2</v>
      </c>
      <c r="L12" s="18">
        <v>0.1</v>
      </c>
      <c r="M12" s="31">
        <f>[1]!Grundbruch(B12,C12,D12,G12*D12,G12,E12,F12,ATAN(H12/J12)*180/PI(),K12,L12)</f>
        <v>3177.1309806092886</v>
      </c>
      <c r="N12" s="32">
        <f>[1]!Grundbruch(B12,C12,D12,G12*D12,G12,F12,E12,ATAN(I12/J12)*180/PI(),L12,K12)</f>
        <v>3060.703121143762</v>
      </c>
      <c r="O12" s="22">
        <f>MIN(M12:N12)/J12</f>
        <v>6.1214062422875237</v>
      </c>
    </row>
    <row r="13" spans="1:15" x14ac:dyDescent="0.25">
      <c r="B13" s="36">
        <v>0</v>
      </c>
      <c r="C13" s="37">
        <v>27</v>
      </c>
      <c r="D13" s="38">
        <v>18</v>
      </c>
      <c r="E13" s="39">
        <v>4</v>
      </c>
      <c r="F13" s="40">
        <v>4</v>
      </c>
      <c r="G13" s="35">
        <v>0.9</v>
      </c>
      <c r="H13" s="14">
        <v>50</v>
      </c>
      <c r="I13" s="15">
        <v>0</v>
      </c>
      <c r="J13" s="16">
        <v>500</v>
      </c>
      <c r="K13" s="17">
        <v>0.2</v>
      </c>
      <c r="L13" s="18">
        <v>0.4</v>
      </c>
      <c r="M13" s="31">
        <f>[1]!Grundbruch(B13,C13,D13,G13*D13,G13,E13,F13,ATAN(H13/J13)*180/PI(),K13,L13)</f>
        <v>2224.9825111391838</v>
      </c>
      <c r="N13" s="32">
        <f>[1]!Grundbruch(B13,C13,D13,G13*D13,G13,F13,E13,ATAN(I13/J13)*180/PI(),L13,K13)</f>
        <v>2812.4104051737513</v>
      </c>
      <c r="O13" s="22">
        <f>MIN(M13:N13)/J13</f>
        <v>4.4499650222783673</v>
      </c>
    </row>
    <row r="14" spans="1:15" x14ac:dyDescent="0.25">
      <c r="B14" s="36">
        <v>0</v>
      </c>
      <c r="C14" s="37">
        <v>27</v>
      </c>
      <c r="D14" s="38">
        <v>18</v>
      </c>
      <c r="E14" s="39">
        <v>4</v>
      </c>
      <c r="F14" s="40">
        <v>4</v>
      </c>
      <c r="G14" s="35">
        <v>0.9</v>
      </c>
      <c r="H14" s="14">
        <v>10</v>
      </c>
      <c r="I14" s="15">
        <v>200</v>
      </c>
      <c r="J14" s="16">
        <v>500</v>
      </c>
      <c r="K14" s="17">
        <v>0.2</v>
      </c>
      <c r="L14" s="18">
        <v>0.5</v>
      </c>
      <c r="M14" s="31">
        <f>[1]!Grundbruch(B14,C14,D14,G14*D14,G14,E14,F14,ATAN(H14/J14)*180/PI(),K14,L14)</f>
        <v>2621.2812295388749</v>
      </c>
      <c r="N14" s="32">
        <f>[1]!Grundbruch(B14,C14,D14,G14*D14,G14,F14,E14,ATAN(I14/J14)*180/PI(),L14,K14)</f>
        <v>808.10662624609131</v>
      </c>
      <c r="O14" s="22">
        <f>MIN(M14:N14)/J14</f>
        <v>1.6162132524921826</v>
      </c>
    </row>
    <row r="15" spans="1:15" x14ac:dyDescent="0.25">
      <c r="B15" s="19"/>
      <c r="C15" s="20"/>
      <c r="D15" s="21"/>
      <c r="E15" s="14"/>
      <c r="F15" s="15"/>
      <c r="G15" s="12"/>
      <c r="H15" s="14"/>
      <c r="I15" s="15"/>
      <c r="J15" s="16"/>
      <c r="K15" s="17"/>
      <c r="L15" s="18"/>
      <c r="M15" s="31"/>
      <c r="N15" s="32"/>
      <c r="O15" s="22"/>
    </row>
    <row r="16" spans="1:15" x14ac:dyDescent="0.25">
      <c r="B16" s="19"/>
      <c r="C16" s="20"/>
      <c r="D16" s="21"/>
      <c r="E16" s="14"/>
      <c r="F16" s="15"/>
      <c r="G16" s="12"/>
      <c r="H16" s="14"/>
      <c r="I16" s="15"/>
      <c r="J16" s="16"/>
      <c r="K16" s="17"/>
      <c r="L16" s="18"/>
      <c r="M16" s="31"/>
      <c r="N16" s="32"/>
      <c r="O16" s="22"/>
    </row>
    <row r="17" spans="2:15" x14ac:dyDescent="0.25">
      <c r="B17" s="19"/>
      <c r="C17" s="20"/>
      <c r="D17" s="21"/>
      <c r="E17" s="14"/>
      <c r="F17" s="15"/>
      <c r="G17" s="12"/>
      <c r="H17" s="14"/>
      <c r="I17" s="15"/>
      <c r="J17" s="16"/>
      <c r="K17" s="17"/>
      <c r="L17" s="18"/>
      <c r="M17" s="31"/>
      <c r="N17" s="32"/>
      <c r="O17" s="22"/>
    </row>
    <row r="18" spans="2:15" x14ac:dyDescent="0.25">
      <c r="B18" s="19"/>
      <c r="C18" s="20"/>
      <c r="D18" s="21"/>
      <c r="E18" s="14"/>
      <c r="F18" s="15"/>
      <c r="G18" s="12"/>
      <c r="H18" s="14"/>
      <c r="I18" s="15"/>
      <c r="J18" s="16"/>
      <c r="K18" s="17"/>
      <c r="L18" s="18"/>
      <c r="M18" s="31"/>
      <c r="N18" s="32"/>
      <c r="O18" s="22"/>
    </row>
    <row r="19" spans="2:15" x14ac:dyDescent="0.25">
      <c r="B19" s="19"/>
      <c r="C19" s="20"/>
      <c r="D19" s="21"/>
      <c r="E19" s="14"/>
      <c r="F19" s="15"/>
      <c r="G19" s="12"/>
      <c r="H19" s="14"/>
      <c r="I19" s="15"/>
      <c r="J19" s="16"/>
      <c r="K19" s="17"/>
      <c r="L19" s="18"/>
      <c r="M19" s="31"/>
      <c r="N19" s="32"/>
      <c r="O19" s="22"/>
    </row>
    <row r="20" spans="2:15" x14ac:dyDescent="0.25">
      <c r="B20" s="19"/>
      <c r="C20" s="20"/>
      <c r="D20" s="21"/>
      <c r="E20" s="14"/>
      <c r="F20" s="15"/>
      <c r="G20" s="12"/>
      <c r="H20" s="14"/>
      <c r="I20" s="15"/>
      <c r="J20" s="16"/>
      <c r="K20" s="17"/>
      <c r="L20" s="18"/>
      <c r="M20" s="31"/>
      <c r="N20" s="32"/>
      <c r="O20" s="22"/>
    </row>
    <row r="21" spans="2:15" x14ac:dyDescent="0.25">
      <c r="B21" s="19"/>
      <c r="C21" s="20"/>
      <c r="D21" s="21"/>
      <c r="E21" s="14"/>
      <c r="F21" s="15"/>
      <c r="G21" s="12"/>
      <c r="H21" s="14"/>
      <c r="I21" s="15"/>
      <c r="J21" s="16"/>
      <c r="K21" s="17"/>
      <c r="L21" s="18"/>
      <c r="M21" s="31"/>
      <c r="N21" s="32"/>
      <c r="O21" s="22"/>
    </row>
    <row r="22" spans="2:15" x14ac:dyDescent="0.25">
      <c r="B22" s="19"/>
      <c r="C22" s="20"/>
      <c r="D22" s="21"/>
      <c r="E22" s="14"/>
      <c r="F22" s="15"/>
      <c r="G22" s="12"/>
      <c r="H22" s="14"/>
      <c r="I22" s="15"/>
      <c r="J22" s="16"/>
      <c r="K22" s="17"/>
      <c r="L22" s="18"/>
      <c r="M22" s="31"/>
      <c r="N22" s="32"/>
      <c r="O22" s="22"/>
    </row>
    <row r="23" spans="2:15" x14ac:dyDescent="0.25">
      <c r="B23" s="19"/>
      <c r="C23" s="20"/>
      <c r="D23" s="21"/>
      <c r="E23" s="14"/>
      <c r="F23" s="15"/>
      <c r="G23" s="12"/>
      <c r="H23" s="14"/>
      <c r="I23" s="15"/>
      <c r="J23" s="16"/>
      <c r="K23" s="17"/>
      <c r="L23" s="18"/>
      <c r="M23" s="31"/>
      <c r="N23" s="32"/>
      <c r="O23" s="22"/>
    </row>
    <row r="24" spans="2:15" x14ac:dyDescent="0.25">
      <c r="B24" s="19"/>
      <c r="C24" s="20"/>
      <c r="D24" s="21"/>
      <c r="E24" s="14"/>
      <c r="F24" s="15"/>
      <c r="G24" s="12"/>
      <c r="H24" s="14"/>
      <c r="I24" s="15"/>
      <c r="J24" s="16"/>
      <c r="K24" s="17"/>
      <c r="L24" s="18"/>
      <c r="M24" s="31"/>
      <c r="N24" s="32"/>
      <c r="O24" s="22"/>
    </row>
    <row r="25" spans="2:15" x14ac:dyDescent="0.25">
      <c r="B25" s="30"/>
      <c r="C25" s="23"/>
      <c r="D25" s="21"/>
      <c r="E25" s="24"/>
      <c r="F25" s="25"/>
      <c r="G25" s="29"/>
      <c r="H25" s="24"/>
      <c r="I25" s="25"/>
      <c r="J25" s="26"/>
      <c r="K25" s="27"/>
      <c r="L25" s="28"/>
      <c r="M25" s="31"/>
      <c r="N25" s="32"/>
      <c r="O25" s="22"/>
    </row>
  </sheetData>
  <mergeCells count="4">
    <mergeCell ref="H6:L6"/>
    <mergeCell ref="E6:G6"/>
    <mergeCell ref="B6:D6"/>
    <mergeCell ref="M6:N6"/>
  </mergeCells>
  <conditionalFormatting sqref="O9:O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2018-01-10T12:26:47Z</dcterms:created>
  <dcterms:modified xsi:type="dcterms:W3CDTF">2018-01-10T12:37:14Z</dcterms:modified>
</cp:coreProperties>
</file>