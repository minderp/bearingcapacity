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240" yWindow="120" windowWidth="22455" windowHeight="9165" activeTab="1"/>
  </bookViews>
  <sheets>
    <sheet name="Streifenfundament" sheetId="5" r:id="rId1"/>
    <sheet name="Rechteckfundament" sheetId="1" r:id="rId2"/>
    <sheet name="Eigene Anwendung" sheetId="2" r:id="rId3"/>
  </sheets>
  <functionGroups builtInGroupCount="17"/>
  <definedNames>
    <definedName name="drdwn_EG" localSheetId="0">Streifenfundament!$S$4:$S$6</definedName>
    <definedName name="drdwn_EG">Rechteckfundament!$S$4:$S$6</definedName>
    <definedName name="drdwn_EP" localSheetId="0">Streifenfundament!$R$4:$R$5</definedName>
    <definedName name="drdwn_EP">Rechteckfundament!$R$4:$R$5</definedName>
    <definedName name="_xlnm.Print_Area" localSheetId="1">Rechteckfundament!$A$1:$G$45</definedName>
    <definedName name="_xlnm.Print_Area" localSheetId="0">Streifenfundament!$A$1:$G$45</definedName>
  </definedNames>
  <calcPr calcId="145621"/>
  <extLst>
    <ext xmlns:x14="http://schemas.microsoft.com/office/spreadsheetml/2009/9/main" uri="{8193D73E-4604-4355-AFF4-8A2333D13BE4}">
      <x14:definedNames>
        <x14:definedName name="Grundbruch_H_Rechteck">
          <x14:argumentDescriptions count="12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(γ für trockener Boden, γ' bei Grundwasser bis Sohle)</x14:argumentDescription>
            <x14:argumentDescription index="3">Auflast neben Fundament auf Niveau Sohle (inkl. Bodengewicht) in kPa (γ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Betrag der Vertikalkraft Ed,z in kN</x14:argumentDescription>
            <x14:argumentDescription index="8">Optional, Exzentrizität der Resultierenden in Versagensrichtung in m [Default=0]</x14:argumentDescription>
            <x14:argumentDescription index="9">Optional, Exzentrizität der Resultierenden quer zur Versagensrichtung in m [Default=0]</x14:argumentDescription>
            <x14:argumentDescription index="10">Optional, Geländeneigung in Grad [Default=0]</x14:argumentDescription>
            <x14:argumentDescription index="11">Optional, Sohlneigung in Grad [Default=0]</x14:argumentDescription>
          </x14:argumentDescriptions>
        </x14:definedName>
        <x14:definedName name="Grundbruch_H_Streifen">
          <x14:argumentDescriptions count="10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(γ für trockener Boden, γ' bei Grundwasser bis Sohle)</x14:argumentDescription>
            <x14:argumentDescription index="3">Auflast neben Fundament auf Niveau Sohle (inkl. Bodengewicht) in kPa (γ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Betrag der Vertikalkraft Ed,z in kN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</x14:argumentDescriptions>
        </x14:definedName>
        <x14:definedName name="Grundbruch_Rechteck">
          <x14:argumentDescriptions count="12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(γ für trockener Boden, γ' bei Grundwasser bis Sohle)”</x14:argumentDescription>
            <x14:argumentDescription index="3">Auflast neben Fundament auf Niveau Sohle (inkl. Bodengewicht) in kPa, (γ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Länge des Fundaments quer zur Versagensrichtung in m</x14:argumentDescription>
            <x14:argumentDescription index="7">Abweichung der Kraftrichtung zur Vertikalen in Grad [Default=0]</x14:argumentDescription>
            <x14:argumentDescription index="8">Exzentrizität der Resultierenden in Versagensrichtung in m [Default=0]</x14:argumentDescription>
            <x14:argumentDescription index="9">Exzentrizität der Resultierenden quer zur Versagensrichtung in m [Default=0]</x14:argumentDescription>
            <x14:argumentDescription index="10">Geländeneigung in Grad [Default=0]</x14:argumentDescription>
            <x14:argumentDescription index="11">Sohlneigung in Grad [Default=0]</x14:argumentDescription>
          </x14:argumentDescriptions>
        </x14:definedName>
        <x14:definedName name="Grundbruch_Streifen">
          <x14:argumentDescriptions count="10">
            <x14:argumentDescription index="0">Kohäsion in kPa</x14:argumentDescription>
            <x14:argumentDescription index="1" xml:space="preserve">Reibungswinkel in Grad </x14:argumentDescription>
            <x14:argumentDescription index="2">Effektives Bodengewicht unter Fundament kN/m3 (γ für trockener Boden, γ' bei Grundwasser bis Sohle)</x14:argumentDescription>
            <x14:argumentDescription index="3">Auflast neben Fundament auf Niveau Sohle (inkl. Bodengewicht) in kPa (γ t +q)</x14:argumentDescription>
            <x14:argumentDescription index="4">Einbindetiefe (Abstand OKT zur Sohle) in m</x14:argumentDescription>
            <x14:argumentDescription index="5">Breite des Fundaments in Versagensrichtung in m</x14:argumentDescription>
            <x14:argumentDescription index="6">Optional, Abweichung der Kraftrichtung zur Vertikalen in Grad [Default=0]</x14:argumentDescription>
            <x14:argumentDescription index="7">Optional, Exzentrizität der Resultierenden in Versagensrichtung in m [Default=0]</x14:argumentDescription>
            <x14:argumentDescription index="8">Optional, Geländeneigung in Grad [Default=0]</x14:argumentDescription>
            <x14:argumentDescription index="9">Optional, Sohlneigung in Grad [Default=0]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B17" i="5" l="1"/>
  <c r="C9" i="2"/>
  <c r="F42" i="5" l="1"/>
  <c r="B42" i="5"/>
  <c r="B40" i="1"/>
  <c r="F42" i="1"/>
  <c r="B42" i="1"/>
  <c r="F48" i="5"/>
  <c r="F49" i="5" s="1"/>
  <c r="B26" i="5"/>
  <c r="F26" i="5" s="1"/>
  <c r="B23" i="5"/>
  <c r="F27" i="5" s="1"/>
  <c r="C43" i="5"/>
  <c r="L41" i="5"/>
  <c r="L35" i="5"/>
  <c r="L32" i="5"/>
  <c r="L30" i="5"/>
  <c r="L31" i="5" s="1"/>
  <c r="L29" i="5"/>
  <c r="K29" i="5"/>
  <c r="K30" i="5" s="1"/>
  <c r="K28" i="5"/>
  <c r="K32" i="5" s="1"/>
  <c r="B22" i="5"/>
  <c r="N21" i="5"/>
  <c r="M4" i="5"/>
  <c r="B41" i="5" l="1"/>
  <c r="F41" i="5" s="1"/>
  <c r="B44" i="5" s="1"/>
  <c r="F17" i="5"/>
  <c r="B38" i="5"/>
  <c r="F15" i="5"/>
  <c r="K41" i="5"/>
  <c r="K42" i="5" s="1"/>
  <c r="L42" i="5" s="1"/>
  <c r="K31" i="5"/>
  <c r="F48" i="1"/>
  <c r="F49" i="1" s="1"/>
  <c r="B22" i="1"/>
  <c r="C43" i="1"/>
  <c r="B26" i="1"/>
  <c r="B23" i="1"/>
  <c r="F27" i="1" s="1"/>
  <c r="C53" i="5"/>
  <c r="C54" i="5"/>
  <c r="C55" i="5"/>
  <c r="B31" i="5"/>
  <c r="K18" i="5"/>
  <c r="K13" i="5"/>
  <c r="K12" i="5"/>
  <c r="M18" i="5"/>
  <c r="M13" i="5"/>
  <c r="M16" i="5"/>
  <c r="K20" i="5"/>
  <c r="K10" i="5"/>
  <c r="K15" i="5"/>
  <c r="M10" i="5"/>
  <c r="M8" i="5"/>
  <c r="K17" i="5"/>
  <c r="M15" i="5"/>
  <c r="M11" i="5"/>
  <c r="K7" i="5"/>
  <c r="K14" i="5"/>
  <c r="K9" i="5"/>
  <c r="K8" i="5"/>
  <c r="M14" i="5"/>
  <c r="M9" i="5"/>
  <c r="M12" i="5"/>
  <c r="E31" i="5"/>
  <c r="K19" i="5"/>
  <c r="M7" i="5"/>
  <c r="M19" i="5"/>
  <c r="K11" i="5"/>
  <c r="K16" i="5"/>
  <c r="M17" i="5"/>
  <c r="M20" i="5"/>
  <c r="F44" i="5" l="1"/>
  <c r="E34" i="5"/>
  <c r="B34" i="5"/>
  <c r="E35" i="5"/>
  <c r="C56" i="5"/>
  <c r="N20" i="5"/>
  <c r="N19" i="5"/>
  <c r="N18" i="5"/>
  <c r="N15" i="5"/>
  <c r="N10" i="5"/>
  <c r="N8" i="5"/>
  <c r="L20" i="5"/>
  <c r="L19" i="5"/>
  <c r="L9" i="5"/>
  <c r="L7" i="5"/>
  <c r="E32" i="5"/>
  <c r="N17" i="5"/>
  <c r="L16" i="5"/>
  <c r="N14" i="5"/>
  <c r="N13" i="5"/>
  <c r="N12" i="5"/>
  <c r="N11" i="5"/>
  <c r="N9" i="5"/>
  <c r="N7" i="5"/>
  <c r="B28" i="5"/>
  <c r="B32" i="5"/>
  <c r="F38" i="5" s="1"/>
  <c r="L18" i="5"/>
  <c r="L15" i="5"/>
  <c r="L17" i="5"/>
  <c r="N16" i="5"/>
  <c r="L14" i="5"/>
  <c r="L13" i="5"/>
  <c r="L12" i="5"/>
  <c r="L11" i="5"/>
  <c r="L10" i="5"/>
  <c r="L8" i="5"/>
  <c r="K34" i="5"/>
  <c r="K35" i="5" s="1"/>
  <c r="K38" i="5"/>
  <c r="K39" i="5" s="1"/>
  <c r="D49" i="5"/>
  <c r="E49" i="5" s="1"/>
  <c r="L38" i="5"/>
  <c r="L39" i="5" s="1"/>
  <c r="L34" i="5"/>
  <c r="F26" i="1"/>
  <c r="F44" i="1" l="1"/>
  <c r="B41" i="1"/>
  <c r="F41" i="1" s="1"/>
  <c r="B44" i="1" s="1"/>
  <c r="A39" i="5"/>
  <c r="D38" i="5"/>
  <c r="D44" i="5"/>
  <c r="A45" i="5"/>
  <c r="D55" i="5"/>
  <c r="D53" i="5"/>
  <c r="D56" i="5"/>
  <c r="D54" i="5"/>
  <c r="F15" i="1"/>
  <c r="F16" i="1"/>
  <c r="F17" i="1"/>
  <c r="B38" i="1"/>
  <c r="L30" i="1"/>
  <c r="L35" i="1"/>
  <c r="L41" i="1"/>
  <c r="E31" i="1"/>
  <c r="K7" i="1"/>
  <c r="K17" i="1"/>
  <c r="K9" i="1"/>
  <c r="K20" i="1"/>
  <c r="K12" i="1"/>
  <c r="K19" i="1"/>
  <c r="K15" i="1"/>
  <c r="K11" i="1"/>
  <c r="K13" i="1"/>
  <c r="K16" i="1"/>
  <c r="K8" i="1"/>
  <c r="K18" i="1"/>
  <c r="K14" i="1"/>
  <c r="K10" i="1"/>
  <c r="B31" i="1"/>
  <c r="C53" i="1"/>
  <c r="C54" i="1"/>
  <c r="C55" i="1"/>
  <c r="M14" i="1"/>
  <c r="M9" i="1"/>
  <c r="M16" i="1"/>
  <c r="M15" i="1"/>
  <c r="M17" i="1"/>
  <c r="M8" i="1"/>
  <c r="M13" i="1"/>
  <c r="M7" i="1"/>
  <c r="M10" i="1"/>
  <c r="M19" i="1"/>
  <c r="M12" i="1"/>
  <c r="M11" i="1"/>
  <c r="M18" i="1"/>
  <c r="M20" i="1"/>
  <c r="A45" i="1" l="1"/>
  <c r="D49" i="1"/>
  <c r="B49" i="1"/>
  <c r="E35" i="1"/>
  <c r="L38" i="1"/>
  <c r="L39" i="1" s="1"/>
  <c r="K38" i="1"/>
  <c r="K39" i="1" s="1"/>
  <c r="L34" i="1"/>
  <c r="K34" i="1"/>
  <c r="K35" i="1" s="1"/>
  <c r="L32" i="1"/>
  <c r="L29" i="1"/>
  <c r="K29" i="1"/>
  <c r="K30" i="1" s="1"/>
  <c r="K28" i="1"/>
  <c r="K32" i="1" s="1"/>
  <c r="M4" i="1"/>
  <c r="B17" i="1"/>
  <c r="E49" i="1" l="1"/>
  <c r="B28" i="1"/>
  <c r="D44" i="1"/>
  <c r="C56" i="1"/>
  <c r="L31" i="1"/>
  <c r="K41" i="1"/>
  <c r="K42" i="1" s="1"/>
  <c r="L42" i="1" s="1"/>
  <c r="K31" i="1"/>
  <c r="N8" i="1"/>
  <c r="N21" i="1" l="1"/>
  <c r="E34" i="1" l="1"/>
  <c r="E32" i="1"/>
  <c r="B34" i="1" l="1"/>
  <c r="N7" i="1"/>
  <c r="N19" i="1"/>
  <c r="N15" i="1"/>
  <c r="N11" i="1"/>
  <c r="N18" i="1"/>
  <c r="N14" i="1"/>
  <c r="N10" i="1"/>
  <c r="N17" i="1"/>
  <c r="N13" i="1"/>
  <c r="N9" i="1"/>
  <c r="N20" i="1"/>
  <c r="N16" i="1"/>
  <c r="N12" i="1"/>
  <c r="L7" i="1"/>
  <c r="L9" i="1"/>
  <c r="L11" i="1"/>
  <c r="L13" i="1"/>
  <c r="L15" i="1"/>
  <c r="L17" i="1"/>
  <c r="L19" i="1"/>
  <c r="L8" i="1"/>
  <c r="L10" i="1"/>
  <c r="L12" i="1"/>
  <c r="L14" i="1"/>
  <c r="L16" i="1"/>
  <c r="L18" i="1"/>
  <c r="L20" i="1"/>
  <c r="D54" i="1" l="1"/>
  <c r="D55" i="1"/>
  <c r="D53" i="1"/>
  <c r="D56" i="1"/>
  <c r="B32" i="1"/>
  <c r="F38" i="1" l="1"/>
  <c r="D38" i="1" s="1"/>
  <c r="A39" i="1" l="1"/>
</calcChain>
</file>

<file path=xl/comments1.xml><?xml version="1.0" encoding="utf-8"?>
<comments xmlns="http://schemas.openxmlformats.org/spreadsheetml/2006/main">
  <authors>
    <author>Minder, Pascal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B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für c&lt;&gt;0 muss ein Kraftbetrag angegeben werden
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grossflächig und dauerhaft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q+ t*gamma' verwenden
Fall 2: Grundwasser höchstens zur Fundamentsohle oder kein GW
         q + t*gamma verwenden
Fall 3: Grundwasser zwischen Sohle und Oberfläche
         q +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</commentList>
</comments>
</file>

<file path=xl/comments2.xml><?xml version="1.0" encoding="utf-8"?>
<comments xmlns="http://schemas.openxmlformats.org/spreadsheetml/2006/main">
  <authors>
    <author>Minder, Pascal</author>
  </authors>
  <commentList>
    <comment ref="A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automatisch auf Bemessungswerte abgemindert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abfallendes Gelände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Fall A: für Grundwasserspiegel ausserhalb des Versagensmechanismus -&gt; gamma verwenden
Fall B: Für Grundwasserspiegel bei Fundamentsohle oder höher -&gt; gamma' verwenden</t>
        </r>
      </text>
    </comment>
    <comment ref="F10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+ für günstiger Gleitwiderstand</t>
        </r>
      </text>
    </comment>
    <comment ref="B11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Wird nur für Eigengewicht verwendet
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Nur berücksichtigen falls grossflächig und dauerhaft vorhanden</t>
        </r>
      </text>
    </comment>
    <comment ref="B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Grundwasserspiegel immer kontrollieren und anpassen:
Fall 1: GW bis an Oberfläche 
         q+ t*gamma' verwenden
Fall 2: Grundwasser höchstens zur Fundamentsohle oder kein GW
         q + t*gamma verwenden
Fall 3: Grundwasser zwischen Sohle und Oberfläche
         q + t1*gamma+t2*gamma' verwenden</t>
        </r>
      </text>
    </comment>
    <comment ref="F17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in Grad eingeben
oder
=atan( EH,d / EV,d )*180/pi()
Die Lastneigung bezieht sich immer auf die Vertikale und nicht auf die Normale zur Fundamentsohle. Es wird nur die Lastneigung in Richtung des Mechanismus berücksichtigt (b-Richtung). In die andere Richtung kann nur die Exzentrizität berücksichtigt werden.</t>
        </r>
      </text>
    </comment>
    <comment ref="E23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a Achse.
Massgebend für Exzentrizität eb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Minder, Pascal:</t>
        </r>
        <r>
          <rPr>
            <sz val="9"/>
            <color indexed="81"/>
            <rFont val="Tahoma"/>
            <family val="2"/>
          </rPr>
          <t xml:space="preserve">
Moment um b Achse.
Massgebend für Exzentrizität ea</t>
        </r>
      </text>
    </comment>
  </commentList>
</comments>
</file>

<file path=xl/sharedStrings.xml><?xml version="1.0" encoding="utf-8"?>
<sst xmlns="http://schemas.openxmlformats.org/spreadsheetml/2006/main" count="313" uniqueCount="118">
  <si>
    <t>RN,d</t>
  </si>
  <si>
    <t>kN</t>
  </si>
  <si>
    <t>kN/m3</t>
  </si>
  <si>
    <t>°</t>
  </si>
  <si>
    <t>kPa</t>
  </si>
  <si>
    <t>m</t>
  </si>
  <si>
    <t>Lastneigung</t>
  </si>
  <si>
    <t>RH,d</t>
  </si>
  <si>
    <t>omega</t>
  </si>
  <si>
    <t>Einwirkung</t>
  </si>
  <si>
    <t>Streifenfundament</t>
  </si>
  <si>
    <t>Rechteckfundament</t>
  </si>
  <si>
    <t>Optional</t>
  </si>
  <si>
    <t>Baugrund (charakteristisch)</t>
  </si>
  <si>
    <t>Böschungsneigung</t>
  </si>
  <si>
    <r>
      <rPr>
        <sz val="11"/>
        <color theme="1"/>
        <rFont val="Times New Roman"/>
        <family val="1"/>
      </rPr>
      <t>φ</t>
    </r>
    <r>
      <rPr>
        <sz val="11"/>
        <color theme="1"/>
        <rFont val="Calibri"/>
        <family val="2"/>
      </rPr>
      <t>k</t>
    </r>
  </si>
  <si>
    <t>ck</t>
  </si>
  <si>
    <t>γ oder γ'</t>
  </si>
  <si>
    <t>Günstige seitliche Auflast</t>
  </si>
  <si>
    <t>kN/m'</t>
  </si>
  <si>
    <t>Rn,k</t>
  </si>
  <si>
    <t>Rh,k</t>
  </si>
  <si>
    <t>Partialsicherheit</t>
  </si>
  <si>
    <t>Design</t>
  </si>
  <si>
    <t>Charakteristisch/FS</t>
  </si>
  <si>
    <t>RH,k</t>
  </si>
  <si>
    <t>altes Bemessungskonzept, globale Sicherheit</t>
  </si>
  <si>
    <r>
      <rPr>
        <sz val="11"/>
        <color theme="1"/>
        <rFont val="Times New Roman"/>
        <family val="1"/>
      </rPr>
      <t>σ</t>
    </r>
    <r>
      <rPr>
        <sz val="11"/>
        <color theme="1"/>
        <rFont val="Calibri"/>
        <family val="2"/>
      </rPr>
      <t>f,d =</t>
    </r>
  </si>
  <si>
    <t>Anleitung für die Funktion</t>
  </si>
  <si>
    <t>c</t>
  </si>
  <si>
    <t>phi</t>
  </si>
  <si>
    <t>gamma</t>
  </si>
  <si>
    <t>t</t>
  </si>
  <si>
    <t>B</t>
  </si>
  <si>
    <t>L</t>
  </si>
  <si>
    <t>q+yt'</t>
  </si>
  <si>
    <t>Input</t>
  </si>
  <si>
    <t>Output</t>
  </si>
  <si>
    <t>Hilfswerte für die Lastfigur</t>
  </si>
  <si>
    <t>x/b</t>
  </si>
  <si>
    <t>Last</t>
  </si>
  <si>
    <t>Fundament</t>
  </si>
  <si>
    <t>y/b</t>
  </si>
  <si>
    <t>start</t>
  </si>
  <si>
    <t>effektiv</t>
  </si>
  <si>
    <t>Gelände</t>
  </si>
  <si>
    <t>Kontrollen</t>
  </si>
  <si>
    <t>Anteil aus Überlagerung</t>
  </si>
  <si>
    <t>Anteil aus Kohäsion</t>
  </si>
  <si>
    <t>Höhe</t>
  </si>
  <si>
    <t>Eigengewicht</t>
  </si>
  <si>
    <t xml:space="preserve">FSglobal = </t>
  </si>
  <si>
    <t>Günstiger seitlicher Erddruck</t>
  </si>
  <si>
    <t>ja</t>
  </si>
  <si>
    <t>Gd</t>
  </si>
  <si>
    <t xml:space="preserve">nein </t>
  </si>
  <si>
    <t>keines</t>
  </si>
  <si>
    <t>berücksichtigt?</t>
  </si>
  <si>
    <t>Angreifende Kräfte</t>
  </si>
  <si>
    <t>EH,d</t>
  </si>
  <si>
    <t>Ma-&gt;eb</t>
  </si>
  <si>
    <t>Mb-&gt;ea</t>
  </si>
  <si>
    <t>kNm</t>
  </si>
  <si>
    <t>ungünstig</t>
  </si>
  <si>
    <t>günstig</t>
  </si>
  <si>
    <t>Widerstand</t>
  </si>
  <si>
    <t>Anteil aus Bodengewicht</t>
  </si>
  <si>
    <t>Resultierende Einwirkung</t>
  </si>
  <si>
    <t>Hilfswerte für Diagramme</t>
  </si>
  <si>
    <t>Datenbereich für Dropdown</t>
  </si>
  <si>
    <t>RN,d  =</t>
  </si>
  <si>
    <t>EN,d  =</t>
  </si>
  <si>
    <t>Total</t>
  </si>
  <si>
    <t>Bodenpressung</t>
  </si>
  <si>
    <t>zul. Bodenpressung</t>
  </si>
  <si>
    <t>Widerstandskraft</t>
  </si>
  <si>
    <r>
      <rPr>
        <sz val="11"/>
        <color theme="0" tint="-0.499984740745262"/>
        <rFont val="Times New Roman"/>
        <family val="1"/>
      </rPr>
      <t>σ</t>
    </r>
    <r>
      <rPr>
        <sz val="11"/>
        <color theme="0" tint="-0.499984740745262"/>
        <rFont val="Calibri"/>
        <family val="2"/>
      </rPr>
      <t>f/FSglobal =</t>
    </r>
  </si>
  <si>
    <t>σvorh =</t>
  </si>
  <si>
    <t>FV,d</t>
  </si>
  <si>
    <t>FH,d</t>
  </si>
  <si>
    <r>
      <t xml:space="preserve">(mit </t>
    </r>
    <r>
      <rPr>
        <sz val="11"/>
        <color theme="1"/>
        <rFont val="Times New Roman"/>
        <family val="1"/>
      </rPr>
      <t>δd&lt;</t>
    </r>
    <r>
      <rPr>
        <sz val="11"/>
        <color theme="1"/>
        <rFont val="Calibri"/>
        <family val="2"/>
      </rPr>
      <t>=</t>
    </r>
  </si>
  <si>
    <t>RV,d</t>
  </si>
  <si>
    <t>Nachweise nach SIA 267, Z.8.5.3 (relativ zur Sohle)</t>
  </si>
  <si>
    <t>RV,k</t>
  </si>
  <si>
    <t>EV,d</t>
  </si>
  <si>
    <t>Kp</t>
  </si>
  <si>
    <t>RE,d=Ep,k/1.4</t>
  </si>
  <si>
    <t>kPa auf reduzierter Fläche a' b'</t>
  </si>
  <si>
    <t>Länge a</t>
  </si>
  <si>
    <t>Breite b</t>
  </si>
  <si>
    <t>Einbindetiefe t</t>
  </si>
  <si>
    <t>an Oberfläche q</t>
  </si>
  <si>
    <r>
      <t>bei Sohle: q+</t>
    </r>
    <r>
      <rPr>
        <sz val="11"/>
        <color theme="1"/>
        <rFont val="Times New Roman"/>
        <family val="1"/>
      </rPr>
      <t>γ</t>
    </r>
    <r>
      <rPr>
        <sz val="11"/>
        <color theme="1"/>
        <rFont val="Calibri"/>
        <family val="2"/>
      </rPr>
      <t>t</t>
    </r>
  </si>
  <si>
    <t>Gleiten (GZT 2)</t>
  </si>
  <si>
    <t>Grundbruch (GZT 2)</t>
  </si>
  <si>
    <t>+</t>
  </si>
  <si>
    <t>Geometrie des Fundaments</t>
  </si>
  <si>
    <t>&lt;?</t>
  </si>
  <si>
    <r>
      <t>(e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/b)</t>
    </r>
    <r>
      <rPr>
        <vertAlign val="superscript"/>
        <sz val="11"/>
        <color theme="1"/>
        <rFont val="Calibri"/>
        <family val="2"/>
        <scheme val="minor"/>
      </rPr>
      <t>2</t>
    </r>
  </si>
  <si>
    <r>
      <t>(e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>/a)</t>
    </r>
    <r>
      <rPr>
        <vertAlign val="superscript"/>
        <sz val="11"/>
        <color theme="1"/>
        <rFont val="Calibri"/>
        <family val="2"/>
        <scheme val="minor"/>
      </rPr>
      <t>2</t>
    </r>
  </si>
  <si>
    <t>Schätzung Kippen (da eigentlich GZT 1, d.h. andere Lastbeiwerte)</t>
  </si>
  <si>
    <t>kNm/m'</t>
  </si>
  <si>
    <t>unendlich</t>
  </si>
  <si>
    <t>keine</t>
  </si>
  <si>
    <t>ET,d =</t>
  </si>
  <si>
    <t>RT,d+RE,d =</t>
  </si>
  <si>
    <t xml:space="preserve">ET,d = </t>
  </si>
  <si>
    <r>
      <t>(e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>/b)</t>
    </r>
  </si>
  <si>
    <t>EV,dGleiten</t>
  </si>
  <si>
    <t>EH,dGleiten</t>
  </si>
  <si>
    <t>Fundamentneigung</t>
  </si>
  <si>
    <t>nein</t>
  </si>
  <si>
    <t>eb</t>
  </si>
  <si>
    <t>ea</t>
  </si>
  <si>
    <t>ωb</t>
  </si>
  <si>
    <t>Exzentrizität</t>
  </si>
  <si>
    <t>Kopf und Fusszeile vor dem Drucken anpassen!</t>
  </si>
  <si>
    <t>Version 0.2.0, 2018-03-01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</si>
</sst>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#\ ?/1000"/>
  </numFmts>
  <fonts count="21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</font>
    <font>
      <sz val="11"/>
      <color theme="0" tint="-0.499984740745262"/>
      <name val="Times New Roman"/>
      <family val="1"/>
    </font>
    <font>
      <sz val="8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6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E4C9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9" fontId="10" fillId="0" borderId="0" applyFont="0" applyFill="0" applyBorder="0" applyAlignment="0" applyProtection="0"/>
    <xf numFmtId="0" fontId="12" fillId="9" borderId="0" applyNumberFormat="0" applyBorder="0" applyAlignment="0" applyProtection="0"/>
  </cellStyleXfs>
  <cellXfs count="62">
    <xf numFmtId="0" fontId="0" fillId="0" borderId="0" xfId="0"/>
    <xf numFmtId="1" fontId="0" fillId="0" borderId="0" xfId="0" applyNumberFormat="1"/>
    <xf numFmtId="0" fontId="1" fillId="2" borderId="1" xfId="1"/>
    <xf numFmtId="0" fontId="3" fillId="0" borderId="0" xfId="0" applyFont="1"/>
    <xf numFmtId="0" fontId="6" fillId="0" borderId="0" xfId="0" applyFont="1"/>
    <xf numFmtId="0" fontId="7" fillId="2" borderId="1" xfId="1" applyFont="1"/>
    <xf numFmtId="0" fontId="5" fillId="0" borderId="0" xfId="0" applyFont="1"/>
    <xf numFmtId="0" fontId="4" fillId="4" borderId="0" xfId="0" applyFont="1" applyFill="1"/>
    <xf numFmtId="0" fontId="0" fillId="4" borderId="0" xfId="0" applyFill="1"/>
    <xf numFmtId="0" fontId="4" fillId="5" borderId="0" xfId="0" applyFont="1" applyFill="1"/>
    <xf numFmtId="0" fontId="0" fillId="5" borderId="0" xfId="0" applyFill="1"/>
    <xf numFmtId="0" fontId="4" fillId="6" borderId="0" xfId="0" applyFont="1" applyFill="1"/>
    <xf numFmtId="0" fontId="0" fillId="6" borderId="0" xfId="0" applyFill="1"/>
    <xf numFmtId="0" fontId="0" fillId="7" borderId="0" xfId="0" applyFill="1"/>
    <xf numFmtId="0" fontId="0" fillId="0" borderId="0" xfId="0" applyAlignment="1">
      <alignment horizontal="right"/>
    </xf>
    <xf numFmtId="164" fontId="0" fillId="0" borderId="0" xfId="0" applyNumberFormat="1"/>
    <xf numFmtId="0" fontId="6" fillId="0" borderId="0" xfId="0" applyFont="1" applyAlignment="1">
      <alignment horizontal="right"/>
    </xf>
    <xf numFmtId="9" fontId="0" fillId="0" borderId="0" xfId="3" applyFont="1"/>
    <xf numFmtId="2" fontId="0" fillId="0" borderId="0" xfId="0" applyNumberFormat="1"/>
    <xf numFmtId="0" fontId="11" fillId="0" borderId="0" xfId="0" applyFont="1"/>
    <xf numFmtId="0" fontId="0" fillId="10" borderId="0" xfId="0" applyFill="1"/>
    <xf numFmtId="0" fontId="0" fillId="0" borderId="0" xfId="0" applyAlignment="1">
      <alignment horizontal="center"/>
    </xf>
    <xf numFmtId="9" fontId="0" fillId="0" borderId="0" xfId="0" applyNumberFormat="1"/>
    <xf numFmtId="0" fontId="6" fillId="0" borderId="0" xfId="0" quotePrefix="1" applyFont="1"/>
    <xf numFmtId="0" fontId="1" fillId="2" borderId="1" xfId="1" applyNumberFormat="1"/>
    <xf numFmtId="0" fontId="13" fillId="0" borderId="0" xfId="0" applyFont="1"/>
    <xf numFmtId="1" fontId="14" fillId="3" borderId="1" xfId="2" applyNumberFormat="1" applyFont="1"/>
    <xf numFmtId="0" fontId="13" fillId="0" borderId="0" xfId="0" applyFont="1" applyAlignment="1">
      <alignment horizontal="left"/>
    </xf>
    <xf numFmtId="0" fontId="13" fillId="2" borderId="1" xfId="1" applyFont="1" applyAlignment="1">
      <alignment horizontal="right"/>
    </xf>
    <xf numFmtId="0" fontId="15" fillId="0" borderId="0" xfId="0" applyFont="1" applyFill="1" applyAlignment="1">
      <alignment horizontal="right"/>
    </xf>
    <xf numFmtId="164" fontId="13" fillId="0" borderId="0" xfId="0" applyNumberFormat="1" applyFont="1" applyFill="1"/>
    <xf numFmtId="0" fontId="13" fillId="0" borderId="0" xfId="0" applyFont="1" applyFill="1"/>
    <xf numFmtId="0" fontId="13" fillId="0" borderId="0" xfId="0" applyFont="1" applyFill="1" applyBorder="1" applyAlignment="1">
      <alignment horizontal="right"/>
    </xf>
    <xf numFmtId="0" fontId="1" fillId="11" borderId="1" xfId="1" applyFill="1" applyAlignment="1">
      <alignment horizontal="right"/>
    </xf>
    <xf numFmtId="2" fontId="1" fillId="2" borderId="2" xfId="1" applyNumberFormat="1" applyBorder="1"/>
    <xf numFmtId="165" fontId="1" fillId="2" borderId="2" xfId="1" applyNumberFormat="1" applyBorder="1"/>
    <xf numFmtId="1" fontId="12" fillId="9" borderId="1" xfId="4" applyNumberFormat="1" applyBorder="1"/>
    <xf numFmtId="0" fontId="1" fillId="11" borderId="1" xfId="1" applyFill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7" xfId="0" applyBorder="1"/>
    <xf numFmtId="0" fontId="3" fillId="0" borderId="8" xfId="0" applyFont="1" applyBorder="1" applyAlignment="1">
      <alignment horizontal="left"/>
    </xf>
    <xf numFmtId="0" fontId="0" fillId="0" borderId="9" xfId="0" applyBorder="1"/>
    <xf numFmtId="0" fontId="0" fillId="0" borderId="10" xfId="0" applyBorder="1"/>
    <xf numFmtId="164" fontId="0" fillId="0" borderId="0" xfId="0" applyNumberFormat="1" applyBorder="1" applyAlignment="1">
      <alignment horizontal="center"/>
    </xf>
    <xf numFmtId="0" fontId="0" fillId="0" borderId="7" xfId="0" applyBorder="1" applyAlignment="1">
      <alignment horizontal="left"/>
    </xf>
    <xf numFmtId="12" fontId="0" fillId="0" borderId="0" xfId="0" applyNumberFormat="1"/>
    <xf numFmtId="0" fontId="17" fillId="0" borderId="0" xfId="0" applyFont="1" applyAlignment="1">
      <alignment horizontal="right"/>
    </xf>
    <xf numFmtId="0" fontId="0" fillId="0" borderId="0" xfId="0" quotePrefix="1" applyAlignment="1">
      <alignment horizontal="center"/>
    </xf>
    <xf numFmtId="1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1" fillId="8" borderId="2" xfId="1" applyNumberFormat="1" applyFill="1" applyBorder="1" applyAlignment="1">
      <alignment horizontal="right"/>
    </xf>
    <xf numFmtId="0" fontId="1" fillId="8" borderId="1" xfId="1" applyFill="1" applyAlignment="1">
      <alignment horizontal="right"/>
    </xf>
    <xf numFmtId="0" fontId="0" fillId="0" borderId="0" xfId="0" applyFill="1" applyBorder="1"/>
    <xf numFmtId="164" fontId="0" fillId="0" borderId="0" xfId="0" applyNumberFormat="1" applyBorder="1"/>
    <xf numFmtId="0" fontId="20" fillId="0" borderId="0" xfId="0" applyFont="1" applyFill="1"/>
  </cellXfs>
  <cellStyles count="5">
    <cellStyle name="Berechnung" xfId="2" builtinId="22"/>
    <cellStyle name="Eingabe" xfId="1" builtinId="20"/>
    <cellStyle name="Gut" xfId="4" builtinId="26"/>
    <cellStyle name="Prozent" xfId="3" builtinId="5"/>
    <cellStyle name="Standard" xfId="0" builtinId="0"/>
  </cellStyles>
  <dxfs count="0"/>
  <tableStyles count="0" defaultTableStyle="TableStyleMedium2" defaultPivotStyle="PivotStyleLight16"/>
  <colors>
    <mruColors>
      <color rgb="FFFFE4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Streifenfundament!$K$4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Streifenfundament!$K$7:$K$20</c:f>
              <c:numCache>
                <c:formatCode>0</c:formatCode>
                <c:ptCount val="14"/>
                <c:pt idx="0">
                  <c:v>483.896315108007</c:v>
                </c:pt>
                <c:pt idx="1">
                  <c:v>426.53160639277166</c:v>
                </c:pt>
                <c:pt idx="2">
                  <c:v>375.09333110035442</c:v>
                </c:pt>
                <c:pt idx="3">
                  <c:v>328.91416424795591</c:v>
                </c:pt>
                <c:pt idx="4">
                  <c:v>287.43141690211132</c:v>
                </c:pt>
                <c:pt idx="5">
                  <c:v>250.16915672347494</c:v>
                </c:pt>
                <c:pt idx="6">
                  <c:v>216.72376018578291</c:v>
                </c:pt>
                <c:pt idx="7">
                  <c:v>186.75329863173494</c:v>
                </c:pt>
                <c:pt idx="8">
                  <c:v>159.96399343626052</c:v>
                </c:pt>
                <c:pt idx="9">
                  <c:v>136.10870518148712</c:v>
                </c:pt>
                <c:pt idx="10">
                  <c:v>114.96981728572365</c:v>
                </c:pt>
                <c:pt idx="11">
                  <c:v>80.129013072492569</c:v>
                </c:pt>
                <c:pt idx="12">
                  <c:v>54.157910007855293</c:v>
                </c:pt>
                <c:pt idx="13">
                  <c:v>35.847210288252029</c:v>
                </c:pt>
              </c:numCache>
            </c:numRef>
          </c:xVal>
          <c:yVal>
            <c:numRef>
              <c:f>Streifenfundament!$L$7:$L$20</c:f>
              <c:numCache>
                <c:formatCode>0</c:formatCode>
                <c:ptCount val="14"/>
                <c:pt idx="0">
                  <c:v>0</c:v>
                </c:pt>
                <c:pt idx="1">
                  <c:v>18.622772115390742</c:v>
                </c:pt>
                <c:pt idx="2">
                  <c:v>32.816414235456918</c:v>
                </c:pt>
                <c:pt idx="3">
                  <c:v>43.302371215114334</c:v>
                </c:pt>
                <c:pt idx="4">
                  <c:v>50.68191390310534</c:v>
                </c:pt>
                <c:pt idx="5">
                  <c:v>55.461166803479536</c:v>
                </c:pt>
                <c:pt idx="6">
                  <c:v>58.070956522416829</c:v>
                </c:pt>
                <c:pt idx="7">
                  <c:v>58.883088877741152</c:v>
                </c:pt>
                <c:pt idx="8">
                  <c:v>58.222132165152999</c:v>
                </c:pt>
                <c:pt idx="9">
                  <c:v>56.378071643213119</c:v>
                </c:pt>
                <c:pt idx="10">
                  <c:v>53.611306257013872</c:v>
                </c:pt>
                <c:pt idx="11">
                  <c:v>46.262507267302624</c:v>
                </c:pt>
                <c:pt idx="12">
                  <c:v>37.921776841183352</c:v>
                </c:pt>
                <c:pt idx="13">
                  <c:v>30.079380931606671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Streifenfundament!$M$4:$N$4</c:f>
              <c:strCache>
                <c:ptCount val="1"/>
                <c:pt idx="0">
                  <c:v>Globale Sicherheit (FS=1.8)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Streifenfundament!$M$7:$M$21</c:f>
              <c:numCache>
                <c:formatCode>0</c:formatCode>
                <c:ptCount val="15"/>
                <c:pt idx="0">
                  <c:v>463.94924706323525</c:v>
                </c:pt>
                <c:pt idx="1">
                  <c:v>408.25014476482545</c:v>
                </c:pt>
                <c:pt idx="2">
                  <c:v>358.36009535707603</c:v>
                </c:pt>
                <c:pt idx="3">
                  <c:v>313.62082301513453</c:v>
                </c:pt>
                <c:pt idx="4">
                  <c:v>273.47707842146099</c:v>
                </c:pt>
                <c:pt idx="5">
                  <c:v>237.45894636760832</c:v>
                </c:pt>
                <c:pt idx="6">
                  <c:v>205.16756274371883</c:v>
                </c:pt>
                <c:pt idx="7">
                  <c:v>176.26345378607715</c:v>
                </c:pt>
                <c:pt idx="8">
                  <c:v>150.45832078366388</c:v>
                </c:pt>
                <c:pt idx="9">
                  <c:v>127.50366517286636</c:v>
                </c:pt>
                <c:pt idx="10">
                  <c:v>107.18517687893255</c:v>
                </c:pt>
                <c:pt idx="11">
                  <c:v>73.743774171322272</c:v>
                </c:pt>
                <c:pt idx="12">
                  <c:v>48.880280737626833</c:v>
                </c:pt>
                <c:pt idx="13">
                  <c:v>31.438015217881389</c:v>
                </c:pt>
              </c:numCache>
            </c:numRef>
          </c:xVal>
          <c:yVal>
            <c:numRef>
              <c:f>Streifenfundament!$N$7:$N$21</c:f>
              <c:numCache>
                <c:formatCode>0</c:formatCode>
                <c:ptCount val="15"/>
                <c:pt idx="0">
                  <c:v>0</c:v>
                </c:pt>
                <c:pt idx="1">
                  <c:v>17.824586262968825</c:v>
                </c:pt>
                <c:pt idx="2">
                  <c:v>31.352445803813268</c:v>
                </c:pt>
                <c:pt idx="3">
                  <c:v>41.288964645357098</c:v>
                </c:pt>
                <c:pt idx="4">
                  <c:v>48.221387531028313</c:v>
                </c:pt>
                <c:pt idx="5">
                  <c:v>52.643381006514879</c:v>
                </c:pt>
                <c:pt idx="6">
                  <c:v>54.974482750241158</c:v>
                </c:pt>
                <c:pt idx="7">
                  <c:v>55.575653502376802</c:v>
                </c:pt>
                <c:pt idx="8">
                  <c:v>54.762350262929566</c:v>
                </c:pt>
                <c:pt idx="9">
                  <c:v>52.813747366879305</c:v>
                </c:pt>
                <c:pt idx="10">
                  <c:v>49.981268819344336</c:v>
                </c:pt>
                <c:pt idx="11">
                  <c:v>42.575987868871884</c:v>
                </c:pt>
                <c:pt idx="12">
                  <c:v>34.226341042293178</c:v>
                </c:pt>
                <c:pt idx="13">
                  <c:v>26.379626974269989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Streifenfundament!$D$25</c:f>
              <c:strCache>
                <c:ptCount val="1"/>
                <c:pt idx="0">
                  <c:v>Resultierende Einwirkung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Streifenfundament!$F$26</c:f>
              <c:numCache>
                <c:formatCode>0.0</c:formatCode>
                <c:ptCount val="1"/>
                <c:pt idx="0">
                  <c:v>350</c:v>
                </c:pt>
              </c:numCache>
            </c:numRef>
          </c:xVal>
          <c:yVal>
            <c:numRef>
              <c:f>Streifenfundament!$F$27</c:f>
              <c:numCache>
                <c:formatCode>0.0</c:formatCode>
                <c:ptCount val="1"/>
                <c:pt idx="0">
                  <c:v>20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Streifenfundament!$A$28</c:f>
              <c:strCache>
                <c:ptCount val="1"/>
                <c:pt idx="0">
                  <c:v>Widerstand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 w="25400">
                <a:solidFill>
                  <a:schemeClr val="accent2"/>
                </a:solidFill>
              </a:ln>
            </c:spPr>
          </c:marker>
          <c:xVal>
            <c:numRef>
              <c:f>Streifenfundament!$B$31</c:f>
              <c:numCache>
                <c:formatCode>0</c:formatCode>
                <c:ptCount val="1"/>
                <c:pt idx="0">
                  <c:v>410.08008326823085</c:v>
                </c:pt>
              </c:numCache>
            </c:numRef>
          </c:xVal>
          <c:yVal>
            <c:numRef>
              <c:f>Streifenfundament!$B$32</c:f>
              <c:numCache>
                <c:formatCode>0</c:formatCode>
                <c:ptCount val="1"/>
                <c:pt idx="0">
                  <c:v>23.433147615327481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515648"/>
        <c:axId val="511759872"/>
      </c:scatterChart>
      <c:valAx>
        <c:axId val="5115156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11759872"/>
        <c:crosses val="autoZero"/>
        <c:crossBetween val="midCat"/>
      </c:valAx>
      <c:valAx>
        <c:axId val="511759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115156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Streifenfundament!$J$26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Streifenfundament!$K$28:$K$35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0.5</c:v>
                </c:pt>
                <c:pt idx="7" formatCode="General">
                  <c:v>0.5</c:v>
                </c:pt>
              </c:numCache>
            </c:numRef>
          </c:xVal>
          <c:yVal>
            <c:numRef>
              <c:f>Streifenfundament!$L$28:$L$35</c:f>
              <c:numCache>
                <c:formatCode>General</c:formatCode>
                <c:ptCount val="8"/>
                <c:pt idx="0">
                  <c:v>0</c:v>
                </c:pt>
                <c:pt idx="1">
                  <c:v>-8.7488663525924007E-2</c:v>
                </c:pt>
                <c:pt idx="2">
                  <c:v>0.42499999999999999</c:v>
                </c:pt>
                <c:pt idx="3">
                  <c:v>0.42499999999999999</c:v>
                </c:pt>
                <c:pt idx="4">
                  <c:v>0</c:v>
                </c:pt>
                <c:pt idx="6">
                  <c:v>-8.7488663525924007E-2</c:v>
                </c:pt>
                <c:pt idx="7">
                  <c:v>0.42499999999999999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Streifenfundament!$J$37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Streifenfundament!$K$38:$K$39</c:f>
              <c:numCache>
                <c:formatCode>General</c:formatCode>
                <c:ptCount val="2"/>
                <c:pt idx="0">
                  <c:v>0</c:v>
                </c:pt>
                <c:pt idx="1">
                  <c:v>5.7049790538512959E-2</c:v>
                </c:pt>
              </c:numCache>
            </c:numRef>
          </c:xVal>
          <c:yVal>
            <c:numRef>
              <c:f>Streifenfundament!$L$38:$L$39</c:f>
              <c:numCache>
                <c:formatCode>General</c:formatCode>
                <c:ptCount val="2"/>
                <c:pt idx="0">
                  <c:v>-4.3744331762962003E-2</c:v>
                </c:pt>
                <c:pt idx="1">
                  <c:v>0.95462700266101463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Streifenfundament!$J$41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Streifenfundament!$K$41:$K$42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Streifenfundament!$L$41:$L$42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880576"/>
        <c:axId val="512972288"/>
      </c:scatterChart>
      <c:valAx>
        <c:axId val="511880576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low"/>
        <c:crossAx val="512972288"/>
        <c:crossesAt val="0"/>
        <c:crossBetween val="midCat"/>
        <c:majorUnit val="0.2"/>
      </c:valAx>
      <c:valAx>
        <c:axId val="512972288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1880576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Rechteckfundament!$K$4</c:f>
              <c:strCache>
                <c:ptCount val="1"/>
                <c:pt idx="0">
                  <c:v>Partialsicherheit</c:v>
                </c:pt>
              </c:strCache>
            </c:strRef>
          </c:tx>
          <c:marker>
            <c:symbol val="none"/>
          </c:marker>
          <c:xVal>
            <c:numRef>
              <c:f>Rechteckfundament!$K$7:$K$20</c:f>
              <c:numCache>
                <c:formatCode>0</c:formatCode>
                <c:ptCount val="14"/>
                <c:pt idx="0">
                  <c:v>4729.6921136091441</c:v>
                </c:pt>
                <c:pt idx="1">
                  <c:v>4160.9721336643997</c:v>
                </c:pt>
                <c:pt idx="2">
                  <c:v>3649.396258419501</c:v>
                </c:pt>
                <c:pt idx="3">
                  <c:v>3189.3189204345044</c:v>
                </c:pt>
                <c:pt idx="4">
                  <c:v>2775.9604346840347</c:v>
                </c:pt>
                <c:pt idx="5">
                  <c:v>2405.2697084004521</c:v>
                </c:pt>
                <c:pt idx="6">
                  <c:v>2073.7776466044852</c:v>
                </c:pt>
                <c:pt idx="7">
                  <c:v>1778.6071326138149</c:v>
                </c:pt>
                <c:pt idx="8">
                  <c:v>1517.1546219906863</c:v>
                </c:pt>
                <c:pt idx="9">
                  <c:v>1287.2148828182926</c:v>
                </c:pt>
                <c:pt idx="10">
                  <c:v>1086.8384514905101</c:v>
                </c:pt>
                <c:pt idx="11">
                  <c:v>766.55187239216605</c:v>
                </c:pt>
                <c:pt idx="12">
                  <c:v>539.56963406933244</c:v>
                </c:pt>
                <c:pt idx="13">
                  <c:v>386.15965539391237</c:v>
                </c:pt>
              </c:numCache>
            </c:numRef>
          </c:xVal>
          <c:yVal>
            <c:numRef>
              <c:f>Rechteckfundament!$L$7:$L$20</c:f>
              <c:numCache>
                <c:formatCode>0</c:formatCode>
                <c:ptCount val="14"/>
                <c:pt idx="0">
                  <c:v>0</c:v>
                </c:pt>
                <c:pt idx="1">
                  <c:v>181.67196677183097</c:v>
                </c:pt>
                <c:pt idx="2">
                  <c:v>319.28080132562974</c:v>
                </c:pt>
                <c:pt idx="3">
                  <c:v>419.88180147793946</c:v>
                </c:pt>
                <c:pt idx="4">
                  <c:v>489.47672201399382</c:v>
                </c:pt>
                <c:pt idx="5">
                  <c:v>533.23545656912063</c:v>
                </c:pt>
                <c:pt idx="6">
                  <c:v>555.66704568938599</c:v>
                </c:pt>
                <c:pt idx="7">
                  <c:v>560.79267480465739</c:v>
                </c:pt>
                <c:pt idx="8">
                  <c:v>552.19912318400179</c:v>
                </c:pt>
                <c:pt idx="9">
                  <c:v>533.18186215183107</c:v>
                </c:pt>
                <c:pt idx="10">
                  <c:v>506.8010931073448</c:v>
                </c:pt>
                <c:pt idx="11">
                  <c:v>442.56892987342871</c:v>
                </c:pt>
                <c:pt idx="12">
                  <c:v>377.81072516440116</c:v>
                </c:pt>
                <c:pt idx="13">
                  <c:v>324.02642441657741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Rechteckfundament!$M$4:$N$4</c:f>
              <c:strCache>
                <c:ptCount val="1"/>
                <c:pt idx="0">
                  <c:v>Globale Sicherheit (FS=1.8)</c:v>
                </c:pt>
              </c:strCache>
            </c:strRef>
          </c:tx>
          <c:spPr>
            <a:ln w="22225">
              <a:prstDash val="sysDash"/>
            </a:ln>
          </c:spPr>
          <c:marker>
            <c:symbol val="none"/>
          </c:marker>
          <c:xVal>
            <c:numRef>
              <c:f>Rechteckfundament!$M$7:$M$21</c:f>
              <c:numCache>
                <c:formatCode>0</c:formatCode>
                <c:ptCount val="15"/>
                <c:pt idx="0">
                  <c:v>4984.1466177749135</c:v>
                </c:pt>
                <c:pt idx="1">
                  <c:v>4380.8698545679026</c:v>
                </c:pt>
                <c:pt idx="2">
                  <c:v>3838.1152730989338</c:v>
                </c:pt>
                <c:pt idx="3">
                  <c:v>3349.8193336739341</c:v>
                </c:pt>
                <c:pt idx="4">
                  <c:v>2910.8442711602197</c:v>
                </c:pt>
                <c:pt idx="5">
                  <c:v>2516.8130042830885</c:v>
                </c:pt>
                <c:pt idx="6">
                  <c:v>2164.0584901543152</c:v>
                </c:pt>
                <c:pt idx="7">
                  <c:v>1849.3767970379749</c:v>
                </c:pt>
                <c:pt idx="8">
                  <c:v>1570.1251597535511</c:v>
                </c:pt>
                <c:pt idx="9">
                  <c:v>1323.8858502272774</c:v>
                </c:pt>
                <c:pt idx="10">
                  <c:v>1108.6611261485359</c:v>
                </c:pt>
                <c:pt idx="11">
                  <c:v>763.34225168144837</c:v>
                </c:pt>
                <c:pt idx="12">
                  <c:v>518.39380698067976</c:v>
                </c:pt>
                <c:pt idx="13">
                  <c:v>354.95297099156596</c:v>
                </c:pt>
              </c:numCache>
            </c:numRef>
          </c:xVal>
          <c:yVal>
            <c:numRef>
              <c:f>Rechteckfundament!$N$7:$N$21</c:f>
              <c:numCache>
                <c:formatCode>0</c:formatCode>
                <c:ptCount val="15"/>
                <c:pt idx="0">
                  <c:v>0</c:v>
                </c:pt>
                <c:pt idx="1">
                  <c:v>191.27290860991073</c:v>
                </c:pt>
                <c:pt idx="2">
                  <c:v>335.79157570186254</c:v>
                </c:pt>
                <c:pt idx="3">
                  <c:v>441.01208174471952</c:v>
                </c:pt>
                <c:pt idx="4">
                  <c:v>513.26038164621389</c:v>
                </c:pt>
                <c:pt idx="5">
                  <c:v>557.96400991990333</c:v>
                </c:pt>
                <c:pt idx="6">
                  <c:v>579.85772481056347</c:v>
                </c:pt>
                <c:pt idx="7">
                  <c:v>583.10626428696719</c:v>
                </c:pt>
                <c:pt idx="8">
                  <c:v>571.47882222275837</c:v>
                </c:pt>
                <c:pt idx="9">
                  <c:v>548.37147419797429</c:v>
                </c:pt>
                <c:pt idx="10">
                  <c:v>516.97717342180727</c:v>
                </c:pt>
                <c:pt idx="11">
                  <c:v>440.71585449209925</c:v>
                </c:pt>
                <c:pt idx="12">
                  <c:v>362.98325140910123</c:v>
                </c:pt>
                <c:pt idx="13">
                  <c:v>297.84090704430275</c:v>
                </c:pt>
                <c:pt idx="14">
                  <c:v>0</c:v>
                </c:pt>
              </c:numCache>
            </c:numRef>
          </c:yVal>
          <c:smooth val="1"/>
        </c:ser>
        <c:ser>
          <c:idx val="3"/>
          <c:order val="2"/>
          <c:tx>
            <c:strRef>
              <c:f>Rechteckfundament!$D$25</c:f>
              <c:strCache>
                <c:ptCount val="1"/>
                <c:pt idx="0">
                  <c:v>Resultierende Einwirkung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5"/>
          </c:marker>
          <c:xVal>
            <c:numRef>
              <c:f>Rechteckfundament!$F$26</c:f>
              <c:numCache>
                <c:formatCode>0.0</c:formatCode>
                <c:ptCount val="1"/>
                <c:pt idx="0">
                  <c:v>2000</c:v>
                </c:pt>
              </c:numCache>
            </c:numRef>
          </c:xVal>
          <c:yVal>
            <c:numRef>
              <c:f>Rechteckfundament!$F$27</c:f>
              <c:numCache>
                <c:formatCode>0.0</c:formatCode>
                <c:ptCount val="1"/>
                <c:pt idx="0">
                  <c:v>450</c:v>
                </c:pt>
              </c:numCache>
            </c:numRef>
          </c:yVal>
          <c:smooth val="1"/>
        </c:ser>
        <c:ser>
          <c:idx val="1"/>
          <c:order val="3"/>
          <c:tx>
            <c:strRef>
              <c:f>Rechteckfundament!$A$28</c:f>
              <c:strCache>
                <c:ptCount val="1"/>
                <c:pt idx="0">
                  <c:v>Widerstand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5"/>
            <c:spPr>
              <a:noFill/>
              <a:ln w="25400">
                <a:solidFill>
                  <a:schemeClr val="accent2"/>
                </a:solidFill>
              </a:ln>
            </c:spPr>
          </c:marker>
          <c:xVal>
            <c:numRef>
              <c:f>Rechteckfundament!$B$31</c:f>
              <c:numCache>
                <c:formatCode>0</c:formatCode>
                <c:ptCount val="1"/>
                <c:pt idx="0">
                  <c:v>2380.0766093441994</c:v>
                </c:pt>
              </c:numCache>
            </c:numRef>
          </c:xVal>
          <c:yVal>
            <c:numRef>
              <c:f>Rechteckfundament!$B$32</c:f>
              <c:numCache>
                <c:formatCode>0</c:formatCode>
                <c:ptCount val="1"/>
                <c:pt idx="0">
                  <c:v>535.51723710244494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098496"/>
        <c:axId val="513100800"/>
      </c:scatterChart>
      <c:valAx>
        <c:axId val="5130984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Widerstand vertikal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513100800"/>
        <c:crosses val="autoZero"/>
        <c:crossBetween val="midCat"/>
      </c:valAx>
      <c:valAx>
        <c:axId val="51310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Widerstand horizontal (kN)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51309849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Rechteckfundament!$J$26</c:f>
              <c:strCache>
                <c:ptCount val="1"/>
                <c:pt idx="0">
                  <c:v>Fundament</c:v>
                </c:pt>
              </c:strCache>
            </c:strRef>
          </c:tx>
          <c:marker>
            <c:symbol val="none"/>
          </c:marker>
          <c:dPt>
            <c:idx val="7"/>
            <c:bubble3D val="0"/>
            <c:spPr>
              <a:ln>
                <a:prstDash val="sysDash"/>
              </a:ln>
            </c:spPr>
          </c:dPt>
          <c:xVal>
            <c:numRef>
              <c:f>Rechteckfundament!$K$28:$K$35</c:f>
              <c:numCache>
                <c:formatCode>0.0</c:formatCode>
                <c:ptCount val="8"/>
                <c:pt idx="0">
                  <c:v>-0.5</c:v>
                </c:pt>
                <c:pt idx="1">
                  <c:v>0.5</c:v>
                </c:pt>
                <c:pt idx="2">
                  <c:v>0.5</c:v>
                </c:pt>
                <c:pt idx="3">
                  <c:v>-0.5</c:v>
                </c:pt>
                <c:pt idx="4">
                  <c:v>-0.5</c:v>
                </c:pt>
                <c:pt idx="6" formatCode="General">
                  <c:v>0.5</c:v>
                </c:pt>
                <c:pt idx="7" formatCode="General">
                  <c:v>0.5</c:v>
                </c:pt>
              </c:numCache>
            </c:numRef>
          </c:xVal>
          <c:yVal>
            <c:numRef>
              <c:f>Rechteckfundament!$L$28:$L$35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0.42499999999999999</c:v>
                </c:pt>
                <c:pt idx="3">
                  <c:v>0.42499999999999999</c:v>
                </c:pt>
                <c:pt idx="4">
                  <c:v>0</c:v>
                </c:pt>
                <c:pt idx="6">
                  <c:v>0</c:v>
                </c:pt>
                <c:pt idx="7">
                  <c:v>0.42499999999999999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Rechteckfundament!$J$37</c:f>
              <c:strCache>
                <c:ptCount val="1"/>
                <c:pt idx="0">
                  <c:v>Last</c:v>
                </c:pt>
              </c:strCache>
            </c:strRef>
          </c:tx>
          <c:marker>
            <c:symbol val="none"/>
          </c:marker>
          <c:xVal>
            <c:numRef>
              <c:f>Rechteckfundament!$K$38:$K$39</c:f>
              <c:numCache>
                <c:formatCode>General</c:formatCode>
                <c:ptCount val="2"/>
                <c:pt idx="0">
                  <c:v>0</c:v>
                </c:pt>
                <c:pt idx="1">
                  <c:v>0.21951219512195125</c:v>
                </c:pt>
              </c:numCache>
            </c:numRef>
          </c:xVal>
          <c:yVal>
            <c:numRef>
              <c:f>Rechteckfundament!$L$38:$L$39</c:f>
              <c:numCache>
                <c:formatCode>General</c:formatCode>
                <c:ptCount val="2"/>
                <c:pt idx="0">
                  <c:v>0</c:v>
                </c:pt>
                <c:pt idx="1">
                  <c:v>0.97560975609756095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Rechteckfundament!$J$41</c:f>
              <c:strCache>
                <c:ptCount val="1"/>
                <c:pt idx="0">
                  <c:v>Gelände</c:v>
                </c:pt>
              </c:strCache>
            </c:strRef>
          </c:tx>
          <c:marker>
            <c:symbol val="none"/>
          </c:marker>
          <c:xVal>
            <c:numRef>
              <c:f>Rechteckfundament!$K$41:$K$42</c:f>
              <c:numCache>
                <c:formatCode>0.0</c:formatCode>
                <c:ptCount val="2"/>
                <c:pt idx="0">
                  <c:v>-0.5</c:v>
                </c:pt>
                <c:pt idx="1">
                  <c:v>-0.8</c:v>
                </c:pt>
              </c:numCache>
            </c:numRef>
          </c:xVal>
          <c:yVal>
            <c:numRef>
              <c:f>Rechteckfundament!$L$41:$L$42</c:f>
              <c:numCache>
                <c:formatCode>General</c:formatCode>
                <c:ptCount val="2"/>
                <c:pt idx="0">
                  <c:v>0.25</c:v>
                </c:pt>
                <c:pt idx="1">
                  <c:v>0.25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131648"/>
        <c:axId val="513133568"/>
      </c:scatterChart>
      <c:valAx>
        <c:axId val="513131648"/>
        <c:scaling>
          <c:orientation val="minMax"/>
          <c:max val="0.60000000000000009"/>
          <c:min val="-0.8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CH"/>
                  <a:t>x/Breite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low"/>
        <c:crossAx val="513133568"/>
        <c:crossesAt val="0"/>
        <c:crossBetween val="midCat"/>
        <c:majorUnit val="0.2"/>
      </c:valAx>
      <c:valAx>
        <c:axId val="513133568"/>
        <c:scaling>
          <c:orientation val="minMax"/>
          <c:max val="1.2"/>
          <c:min val="-0.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y/Breite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3131648"/>
        <c:crossesAt val="-0.8"/>
        <c:crossBetween val="midCat"/>
      </c:valAx>
    </c:plotArea>
    <c:legend>
      <c:legendPos val="r"/>
      <c:layout>
        <c:manualLayout>
          <c:xMode val="edge"/>
          <c:yMode val="edge"/>
          <c:x val="0.16809188674424544"/>
          <c:y val="5.4576902887139102E-2"/>
          <c:w val="0.22631338118133462"/>
          <c:h val="0.1808291338582677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8</xdr:col>
      <xdr:colOff>0</xdr:colOff>
      <xdr:row>23</xdr:row>
      <xdr:rowOff>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45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8</xdr:col>
      <xdr:colOff>0</xdr:colOff>
      <xdr:row>23</xdr:row>
      <xdr:rowOff>0</xdr:rowOff>
    </xdr:to>
    <xdr:graphicFrame macro="">
      <xdr:nvGraphicFramePr>
        <xdr:cNvPr id="3" name="Diagramm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45</xdr:row>
      <xdr:rowOff>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34</xdr:row>
      <xdr:rowOff>57150</xdr:rowOff>
    </xdr:from>
    <xdr:to>
      <xdr:col>2</xdr:col>
      <xdr:colOff>342217</xdr:colOff>
      <xdr:row>51</xdr:row>
      <xdr:rowOff>94841</xdr:rowOff>
    </xdr:to>
    <xdr:pic>
      <xdr:nvPicPr>
        <xdr:cNvPr id="12" name="Grafik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6534150"/>
          <a:ext cx="5466667" cy="32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2</xdr:row>
      <xdr:rowOff>19050</xdr:rowOff>
    </xdr:from>
    <xdr:to>
      <xdr:col>0</xdr:col>
      <xdr:colOff>1380958</xdr:colOff>
      <xdr:row>5</xdr:row>
      <xdr:rowOff>66598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5" y="400050"/>
          <a:ext cx="1333333" cy="6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7</xdr:row>
      <xdr:rowOff>76200</xdr:rowOff>
    </xdr:from>
    <xdr:to>
      <xdr:col>0</xdr:col>
      <xdr:colOff>4190484</xdr:colOff>
      <xdr:row>13</xdr:row>
      <xdr:rowOff>47486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50" y="1409700"/>
          <a:ext cx="4133334" cy="111428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95250</xdr:rowOff>
    </xdr:from>
    <xdr:to>
      <xdr:col>0</xdr:col>
      <xdr:colOff>4114286</xdr:colOff>
      <xdr:row>33</xdr:row>
      <xdr:rowOff>37655</xdr:rowOff>
    </xdr:to>
    <xdr:pic>
      <xdr:nvPicPr>
        <xdr:cNvPr id="4" name="Grafik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762250"/>
          <a:ext cx="4114286" cy="3561905"/>
        </a:xfrm>
        <a:prstGeom prst="rect">
          <a:avLst/>
        </a:prstGeom>
      </xdr:spPr>
    </xdr:pic>
    <xdr:clientData/>
  </xdr:twoCellAnchor>
  <xdr:twoCellAnchor>
    <xdr:from>
      <xdr:col>0</xdr:col>
      <xdr:colOff>171450</xdr:colOff>
      <xdr:row>1</xdr:row>
      <xdr:rowOff>114300</xdr:rowOff>
    </xdr:from>
    <xdr:to>
      <xdr:col>0</xdr:col>
      <xdr:colOff>647700</xdr:colOff>
      <xdr:row>4</xdr:row>
      <xdr:rowOff>9525</xdr:rowOff>
    </xdr:to>
    <xdr:sp macro="" textlink="">
      <xdr:nvSpPr>
        <xdr:cNvPr id="6" name="Ellipse 5"/>
        <xdr:cNvSpPr/>
      </xdr:nvSpPr>
      <xdr:spPr>
        <a:xfrm>
          <a:off x="171450" y="304800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2819400</xdr:colOff>
      <xdr:row>11</xdr:row>
      <xdr:rowOff>9525</xdr:rowOff>
    </xdr:from>
    <xdr:to>
      <xdr:col>0</xdr:col>
      <xdr:colOff>3295650</xdr:colOff>
      <xdr:row>13</xdr:row>
      <xdr:rowOff>95250</xdr:rowOff>
    </xdr:to>
    <xdr:sp macro="" textlink="">
      <xdr:nvSpPr>
        <xdr:cNvPr id="7" name="Ellipse 6"/>
        <xdr:cNvSpPr/>
      </xdr:nvSpPr>
      <xdr:spPr>
        <a:xfrm>
          <a:off x="2819400" y="2105025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</xdr:col>
      <xdr:colOff>581025</xdr:colOff>
      <xdr:row>40</xdr:row>
      <xdr:rowOff>161925</xdr:rowOff>
    </xdr:from>
    <xdr:to>
      <xdr:col>2</xdr:col>
      <xdr:colOff>295275</xdr:colOff>
      <xdr:row>43</xdr:row>
      <xdr:rowOff>57150</xdr:rowOff>
    </xdr:to>
    <xdr:sp macro="" textlink="">
      <xdr:nvSpPr>
        <xdr:cNvPr id="8" name="Ellipse 7"/>
        <xdr:cNvSpPr/>
      </xdr:nvSpPr>
      <xdr:spPr>
        <a:xfrm>
          <a:off x="5067300" y="7781925"/>
          <a:ext cx="476250" cy="466725"/>
        </a:xfrm>
        <a:prstGeom prst="ellipse">
          <a:avLst/>
        </a:prstGeom>
        <a:noFill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3228976</xdr:colOff>
      <xdr:row>7</xdr:row>
      <xdr:rowOff>57150</xdr:rowOff>
    </xdr:from>
    <xdr:to>
      <xdr:col>0</xdr:col>
      <xdr:colOff>4086226</xdr:colOff>
      <xdr:row>11</xdr:row>
      <xdr:rowOff>57150</xdr:rowOff>
    </xdr:to>
    <xdr:sp macro="" textlink="">
      <xdr:nvSpPr>
        <xdr:cNvPr id="9" name="Rechteck 8"/>
        <xdr:cNvSpPr/>
      </xdr:nvSpPr>
      <xdr:spPr>
        <a:xfrm>
          <a:off x="3228976" y="1390650"/>
          <a:ext cx="857250" cy="7620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3209926</xdr:colOff>
      <xdr:row>14</xdr:row>
      <xdr:rowOff>152400</xdr:rowOff>
    </xdr:from>
    <xdr:to>
      <xdr:col>0</xdr:col>
      <xdr:colOff>4067176</xdr:colOff>
      <xdr:row>18</xdr:row>
      <xdr:rowOff>152400</xdr:rowOff>
    </xdr:to>
    <xdr:sp macro="" textlink="">
      <xdr:nvSpPr>
        <xdr:cNvPr id="10" name="Rechteck 9"/>
        <xdr:cNvSpPr/>
      </xdr:nvSpPr>
      <xdr:spPr>
        <a:xfrm>
          <a:off x="3209926" y="2819400"/>
          <a:ext cx="857250" cy="7620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3000375</xdr:colOff>
      <xdr:row>30</xdr:row>
      <xdr:rowOff>76200</xdr:rowOff>
    </xdr:from>
    <xdr:to>
      <xdr:col>0</xdr:col>
      <xdr:colOff>4162426</xdr:colOff>
      <xdr:row>33</xdr:row>
      <xdr:rowOff>85725</xdr:rowOff>
    </xdr:to>
    <xdr:sp macro="" textlink="">
      <xdr:nvSpPr>
        <xdr:cNvPr id="11" name="Rechteck 10"/>
        <xdr:cNvSpPr/>
      </xdr:nvSpPr>
      <xdr:spPr>
        <a:xfrm>
          <a:off x="3000375" y="5791200"/>
          <a:ext cx="1162051" cy="581025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0</xdr:col>
      <xdr:colOff>577955</xdr:colOff>
      <xdr:row>3</xdr:row>
      <xdr:rowOff>131675</xdr:rowOff>
    </xdr:from>
    <xdr:to>
      <xdr:col>0</xdr:col>
      <xdr:colOff>2889145</xdr:colOff>
      <xdr:row>11</xdr:row>
      <xdr:rowOff>77875</xdr:rowOff>
    </xdr:to>
    <xdr:cxnSp macro="">
      <xdr:nvCxnSpPr>
        <xdr:cNvPr id="13" name="Gerade Verbindung mit Pfeil 12"/>
        <xdr:cNvCxnSpPr>
          <a:stCxn id="6" idx="5"/>
          <a:endCxn id="7" idx="1"/>
        </xdr:cNvCxnSpPr>
      </xdr:nvCxnSpPr>
      <xdr:spPr>
        <a:xfrm>
          <a:off x="577955" y="703175"/>
          <a:ext cx="2311190" cy="147020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1885950</xdr:colOff>
      <xdr:row>13</xdr:row>
      <xdr:rowOff>93575</xdr:rowOff>
    </xdr:from>
    <xdr:to>
      <xdr:col>0</xdr:col>
      <xdr:colOff>2959205</xdr:colOff>
      <xdr:row>19</xdr:row>
      <xdr:rowOff>57150</xdr:rowOff>
    </xdr:to>
    <xdr:cxnSp macro="">
      <xdr:nvCxnSpPr>
        <xdr:cNvPr id="14" name="Gerade Verbindung mit Pfeil 13"/>
        <xdr:cNvCxnSpPr/>
      </xdr:nvCxnSpPr>
      <xdr:spPr>
        <a:xfrm flipH="1">
          <a:off x="1885950" y="2570075"/>
          <a:ext cx="1073255" cy="110657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1304925</xdr:colOff>
      <xdr:row>19</xdr:row>
      <xdr:rowOff>150725</xdr:rowOff>
    </xdr:from>
    <xdr:to>
      <xdr:col>0</xdr:col>
      <xdr:colOff>1654281</xdr:colOff>
      <xdr:row>23</xdr:row>
      <xdr:rowOff>85725</xdr:rowOff>
    </xdr:to>
    <xdr:cxnSp macro="">
      <xdr:nvCxnSpPr>
        <xdr:cNvPr id="16" name="Gerade Verbindung mit Pfeil 15"/>
        <xdr:cNvCxnSpPr/>
      </xdr:nvCxnSpPr>
      <xdr:spPr>
        <a:xfrm flipH="1">
          <a:off x="1304925" y="3770225"/>
          <a:ext cx="349356" cy="69700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1314450</xdr:colOff>
      <xdr:row>23</xdr:row>
      <xdr:rowOff>85725</xdr:rowOff>
    </xdr:from>
    <xdr:to>
      <xdr:col>0</xdr:col>
      <xdr:colOff>2743200</xdr:colOff>
      <xdr:row>31</xdr:row>
      <xdr:rowOff>133350</xdr:rowOff>
    </xdr:to>
    <xdr:cxnSp macro="">
      <xdr:nvCxnSpPr>
        <xdr:cNvPr id="18" name="Gerade Verbindung mit Pfeil 17"/>
        <xdr:cNvCxnSpPr/>
      </xdr:nvCxnSpPr>
      <xdr:spPr>
        <a:xfrm>
          <a:off x="1314450" y="4467225"/>
          <a:ext cx="1428750" cy="157162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1685925</xdr:colOff>
      <xdr:row>41</xdr:row>
      <xdr:rowOff>180975</xdr:rowOff>
    </xdr:from>
    <xdr:to>
      <xdr:col>1</xdr:col>
      <xdr:colOff>523875</xdr:colOff>
      <xdr:row>42</xdr:row>
      <xdr:rowOff>47625</xdr:rowOff>
    </xdr:to>
    <xdr:cxnSp macro="">
      <xdr:nvCxnSpPr>
        <xdr:cNvPr id="21" name="Gerade Verbindung mit Pfeil 20"/>
        <xdr:cNvCxnSpPr/>
      </xdr:nvCxnSpPr>
      <xdr:spPr>
        <a:xfrm>
          <a:off x="1685925" y="7991475"/>
          <a:ext cx="3324225" cy="57150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1600200</xdr:colOff>
      <xdr:row>32</xdr:row>
      <xdr:rowOff>76200</xdr:rowOff>
    </xdr:from>
    <xdr:to>
      <xdr:col>0</xdr:col>
      <xdr:colOff>2606781</xdr:colOff>
      <xdr:row>38</xdr:row>
      <xdr:rowOff>123825</xdr:rowOff>
    </xdr:to>
    <xdr:cxnSp macro="">
      <xdr:nvCxnSpPr>
        <xdr:cNvPr id="25" name="Gerade Verbindung mit Pfeil 24"/>
        <xdr:cNvCxnSpPr/>
      </xdr:nvCxnSpPr>
      <xdr:spPr>
        <a:xfrm flipH="1">
          <a:off x="1600200" y="6172200"/>
          <a:ext cx="1006581" cy="1190625"/>
        </a:xfrm>
        <a:prstGeom prst="straightConnector1">
          <a:avLst/>
        </a:prstGeom>
        <a:ln w="19050">
          <a:solidFill>
            <a:schemeClr val="accent3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219076</xdr:colOff>
      <xdr:row>34</xdr:row>
      <xdr:rowOff>57150</xdr:rowOff>
    </xdr:from>
    <xdr:to>
      <xdr:col>2</xdr:col>
      <xdr:colOff>314326</xdr:colOff>
      <xdr:row>36</xdr:row>
      <xdr:rowOff>19050</xdr:rowOff>
    </xdr:to>
    <xdr:sp macro="" textlink="">
      <xdr:nvSpPr>
        <xdr:cNvPr id="28" name="Rechteck 27"/>
        <xdr:cNvSpPr/>
      </xdr:nvSpPr>
      <xdr:spPr>
        <a:xfrm>
          <a:off x="4705351" y="6534150"/>
          <a:ext cx="857250" cy="342900"/>
        </a:xfrm>
        <a:prstGeom prst="rect">
          <a:avLst/>
        </a:prstGeom>
        <a:solidFill>
          <a:schemeClr val="bg1">
            <a:lumMod val="85000"/>
            <a:alpha val="88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Nyad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T56"/>
  <sheetViews>
    <sheetView zoomScaleNormal="100" workbookViewId="0"/>
  </sheetViews>
  <sheetFormatPr baseColWidth="10" defaultRowHeight="15" x14ac:dyDescent="0.25"/>
  <cols>
    <col min="1" max="1" width="17.28515625" customWidth="1"/>
    <col min="2" max="2" width="12.42578125" customWidth="1"/>
    <col min="3" max="3" width="8.140625" customWidth="1"/>
    <col min="4" max="4" width="16.28515625" customWidth="1"/>
    <col min="6" max="6" width="11.42578125" customWidth="1"/>
    <col min="7" max="7" width="8.42578125" customWidth="1"/>
    <col min="8" max="8" width="64.7109375" customWidth="1"/>
    <col min="9" max="9" width="7" customWidth="1"/>
    <col min="10" max="13" width="10.42578125" customWidth="1"/>
  </cols>
  <sheetData>
    <row r="1" spans="1:20" x14ac:dyDescent="0.25">
      <c r="A1" s="3" t="s">
        <v>10</v>
      </c>
      <c r="G1" s="53" t="s">
        <v>117</v>
      </c>
      <c r="J1" t="s">
        <v>68</v>
      </c>
      <c r="R1" t="s">
        <v>69</v>
      </c>
    </row>
    <row r="3" spans="1:20" x14ac:dyDescent="0.25">
      <c r="A3" s="9" t="s">
        <v>13</v>
      </c>
      <c r="B3" s="10"/>
      <c r="C3" s="10"/>
      <c r="D3" s="10"/>
      <c r="E3" s="10"/>
      <c r="F3" s="10"/>
      <c r="G3" s="10"/>
      <c r="K3" t="s">
        <v>23</v>
      </c>
      <c r="M3" t="s">
        <v>24</v>
      </c>
    </row>
    <row r="4" spans="1:20" x14ac:dyDescent="0.25">
      <c r="A4" t="s">
        <v>16</v>
      </c>
      <c r="B4" s="2">
        <v>1</v>
      </c>
      <c r="C4" t="s">
        <v>4</v>
      </c>
      <c r="D4" t="s">
        <v>12</v>
      </c>
      <c r="K4" s="1" t="s">
        <v>22</v>
      </c>
      <c r="L4" s="1"/>
      <c r="M4" t="str">
        <f>"Globale Sicherheit (FS="&amp;E30&amp;")"</f>
        <v>Globale Sicherheit (FS=1.8)</v>
      </c>
      <c r="R4" t="s">
        <v>53</v>
      </c>
      <c r="S4" t="s">
        <v>63</v>
      </c>
      <c r="T4">
        <v>1.35</v>
      </c>
    </row>
    <row r="5" spans="1:20" x14ac:dyDescent="0.25">
      <c r="A5" s="4" t="s">
        <v>15</v>
      </c>
      <c r="B5" s="2">
        <v>27</v>
      </c>
      <c r="C5" t="s">
        <v>3</v>
      </c>
      <c r="D5" t="s">
        <v>14</v>
      </c>
      <c r="F5" s="2">
        <v>0</v>
      </c>
      <c r="G5" t="s">
        <v>3</v>
      </c>
      <c r="J5" t="s">
        <v>8</v>
      </c>
      <c r="K5" t="s">
        <v>0</v>
      </c>
      <c r="L5" t="s">
        <v>7</v>
      </c>
      <c r="M5" t="s">
        <v>20</v>
      </c>
      <c r="N5" t="s">
        <v>21</v>
      </c>
      <c r="R5" t="s">
        <v>55</v>
      </c>
      <c r="S5" t="s">
        <v>64</v>
      </c>
      <c r="T5">
        <v>1</v>
      </c>
    </row>
    <row r="6" spans="1:20" x14ac:dyDescent="0.25">
      <c r="A6" s="6" t="s">
        <v>17</v>
      </c>
      <c r="B6" s="2">
        <v>18</v>
      </c>
      <c r="C6" t="s">
        <v>2</v>
      </c>
      <c r="J6" t="s">
        <v>3</v>
      </c>
      <c r="K6" t="s">
        <v>1</v>
      </c>
      <c r="L6" t="s">
        <v>1</v>
      </c>
      <c r="M6" t="s">
        <v>1</v>
      </c>
      <c r="N6" t="s">
        <v>1</v>
      </c>
      <c r="S6" t="s">
        <v>56</v>
      </c>
      <c r="T6">
        <v>0</v>
      </c>
    </row>
    <row r="7" spans="1:20" x14ac:dyDescent="0.25">
      <c r="J7">
        <v>0</v>
      </c>
      <c r="K7" s="1">
        <f>Grundbruch_Streifen($B$4,$B$5,$B$6,$B$17,$B$16,$B$9,J7,$F$15,$F$5,$F$10)</f>
        <v>483.896315108007</v>
      </c>
      <c r="L7" s="1">
        <f>K7*TAN(J7/180*PI())</f>
        <v>0</v>
      </c>
      <c r="M7" s="1">
        <f>Grundbruch_Streifen($B$4*1.5,ATAN(TAN($B$5/180*PI())*1.2)*180/PI(),$B$6,$B$17,$B$16,$B$9,J7,$F$15,$F$5,$F$10)/$E$30</f>
        <v>463.94924706323525</v>
      </c>
      <c r="N7" s="1">
        <f>M7*TAN(J7/180*PI())</f>
        <v>0</v>
      </c>
    </row>
    <row r="8" spans="1:20" x14ac:dyDescent="0.25">
      <c r="A8" s="7" t="s">
        <v>96</v>
      </c>
      <c r="B8" s="8"/>
      <c r="C8" s="8"/>
      <c r="D8" s="8"/>
      <c r="E8" s="8"/>
      <c r="F8" s="8"/>
      <c r="G8" s="8"/>
      <c r="J8">
        <v>2.5</v>
      </c>
      <c r="K8" s="1">
        <f t="shared" ref="K8:K19" si="0">Grundbruch_Streifen($B$4,$B$5,$B$6,$B$17,$B$16,$B$9,J8,$F$15,$F$5,$F$10)</f>
        <v>426.53160639277166</v>
      </c>
      <c r="L8" s="1">
        <f t="shared" ref="L8:L20" si="1">K8*TAN(J8/180*PI())</f>
        <v>18.622772115390742</v>
      </c>
      <c r="M8" s="1">
        <f t="shared" ref="M8:M19" si="2">Grundbruch_Streifen($B$4*1.5,ATAN(TAN($B$5/180*PI())*1.2)*180/PI(),$B$6,$B$17,$B$16,$B$9,J8,$F$15,$F$5,$F$10)/$E$30</f>
        <v>408.25014476482545</v>
      </c>
      <c r="N8" s="1">
        <f>M8*TAN(J8/180*PI())</f>
        <v>17.824586262968825</v>
      </c>
    </row>
    <row r="9" spans="1:20" x14ac:dyDescent="0.25">
      <c r="A9" t="s">
        <v>89</v>
      </c>
      <c r="B9" s="2">
        <v>2</v>
      </c>
      <c r="C9" t="s">
        <v>5</v>
      </c>
      <c r="D9" t="s">
        <v>12</v>
      </c>
      <c r="J9">
        <v>5</v>
      </c>
      <c r="K9" s="1">
        <f t="shared" si="0"/>
        <v>375.09333110035442</v>
      </c>
      <c r="L9" s="1">
        <f t="shared" si="1"/>
        <v>32.816414235456918</v>
      </c>
      <c r="M9" s="1">
        <f t="shared" si="2"/>
        <v>358.36009535707603</v>
      </c>
      <c r="N9" s="1">
        <f t="shared" ref="N9:N21" si="3">M9*TAN(J9/180*PI())</f>
        <v>31.352445803813268</v>
      </c>
    </row>
    <row r="10" spans="1:20" x14ac:dyDescent="0.25">
      <c r="A10" t="s">
        <v>88</v>
      </c>
      <c r="B10" s="58" t="s">
        <v>102</v>
      </c>
      <c r="C10" t="s">
        <v>5</v>
      </c>
      <c r="D10" t="s">
        <v>110</v>
      </c>
      <c r="F10" s="2">
        <v>5</v>
      </c>
      <c r="G10" t="s">
        <v>3</v>
      </c>
      <c r="J10">
        <v>7.5</v>
      </c>
      <c r="K10" s="1">
        <f t="shared" si="0"/>
        <v>328.91416424795591</v>
      </c>
      <c r="L10" s="1">
        <f t="shared" si="1"/>
        <v>43.302371215114334</v>
      </c>
      <c r="M10" s="1">
        <f t="shared" si="2"/>
        <v>313.62082301513453</v>
      </c>
      <c r="N10" s="1">
        <f t="shared" si="3"/>
        <v>41.288964645357098</v>
      </c>
    </row>
    <row r="11" spans="1:20" x14ac:dyDescent="0.25">
      <c r="A11" t="s">
        <v>49</v>
      </c>
      <c r="B11">
        <v>0.85</v>
      </c>
      <c r="C11" t="s">
        <v>5</v>
      </c>
      <c r="J11">
        <v>10</v>
      </c>
      <c r="K11" s="1">
        <f t="shared" si="0"/>
        <v>287.43141690211132</v>
      </c>
      <c r="L11" s="1">
        <f t="shared" si="1"/>
        <v>50.68191390310534</v>
      </c>
      <c r="M11" s="1">
        <f t="shared" si="2"/>
        <v>273.47707842146099</v>
      </c>
      <c r="N11" s="1">
        <f t="shared" si="3"/>
        <v>48.221387531028313</v>
      </c>
    </row>
    <row r="12" spans="1:20" x14ac:dyDescent="0.25">
      <c r="J12">
        <v>12.5</v>
      </c>
      <c r="K12" s="1">
        <f t="shared" si="0"/>
        <v>250.16915672347494</v>
      </c>
      <c r="L12" s="1">
        <f t="shared" si="1"/>
        <v>55.461166803479536</v>
      </c>
      <c r="M12" s="1">
        <f t="shared" si="2"/>
        <v>237.45894636760832</v>
      </c>
      <c r="N12" s="1">
        <f t="shared" si="3"/>
        <v>52.643381006514879</v>
      </c>
    </row>
    <row r="13" spans="1:20" x14ac:dyDescent="0.25">
      <c r="A13" s="11" t="s">
        <v>9</v>
      </c>
      <c r="B13" s="12"/>
      <c r="C13" s="12"/>
      <c r="D13" s="12"/>
      <c r="E13" s="12"/>
      <c r="F13" s="12"/>
      <c r="G13" s="12"/>
      <c r="J13">
        <v>15</v>
      </c>
      <c r="K13" s="1">
        <f t="shared" si="0"/>
        <v>216.72376018578291</v>
      </c>
      <c r="L13" s="1">
        <f t="shared" si="1"/>
        <v>58.070956522416829</v>
      </c>
      <c r="M13" s="1">
        <f t="shared" si="2"/>
        <v>205.16756274371883</v>
      </c>
      <c r="N13" s="1">
        <f t="shared" si="3"/>
        <v>54.974482750241158</v>
      </c>
    </row>
    <row r="14" spans="1:20" x14ac:dyDescent="0.25">
      <c r="A14" s="19" t="s">
        <v>18</v>
      </c>
      <c r="D14" t="s">
        <v>12</v>
      </c>
      <c r="J14">
        <v>17.5</v>
      </c>
      <c r="K14" s="1">
        <f t="shared" si="0"/>
        <v>186.75329863173494</v>
      </c>
      <c r="L14" s="1">
        <f t="shared" si="1"/>
        <v>58.883088877741152</v>
      </c>
      <c r="M14" s="1">
        <f t="shared" si="2"/>
        <v>176.26345378607715</v>
      </c>
      <c r="N14" s="1">
        <f t="shared" si="3"/>
        <v>55.575653502376802</v>
      </c>
    </row>
    <row r="15" spans="1:20" x14ac:dyDescent="0.25">
      <c r="A15" t="s">
        <v>91</v>
      </c>
      <c r="B15" s="2">
        <v>10</v>
      </c>
      <c r="C15" t="s">
        <v>4</v>
      </c>
      <c r="D15" t="s">
        <v>115</v>
      </c>
      <c r="E15" t="s">
        <v>112</v>
      </c>
      <c r="F15" s="34">
        <f>IFERROR(F23/F26,0)</f>
        <v>0</v>
      </c>
      <c r="G15" t="s">
        <v>5</v>
      </c>
      <c r="J15">
        <v>20</v>
      </c>
      <c r="K15" s="1">
        <f t="shared" si="0"/>
        <v>159.96399343626052</v>
      </c>
      <c r="L15" s="1">
        <f t="shared" si="1"/>
        <v>58.222132165152999</v>
      </c>
      <c r="M15" s="1">
        <f t="shared" si="2"/>
        <v>150.45832078366388</v>
      </c>
      <c r="N15" s="1">
        <f t="shared" si="3"/>
        <v>54.762350262929566</v>
      </c>
    </row>
    <row r="16" spans="1:20" x14ac:dyDescent="0.25">
      <c r="A16" t="s">
        <v>90</v>
      </c>
      <c r="B16" s="2">
        <v>0</v>
      </c>
      <c r="C16" t="s">
        <v>5</v>
      </c>
      <c r="D16" t="s">
        <v>115</v>
      </c>
      <c r="E16" t="s">
        <v>113</v>
      </c>
      <c r="F16" s="57" t="s">
        <v>103</v>
      </c>
      <c r="J16">
        <v>22.5</v>
      </c>
      <c r="K16" s="1">
        <f t="shared" si="0"/>
        <v>136.10870518148712</v>
      </c>
      <c r="L16" s="1">
        <f t="shared" si="1"/>
        <v>56.378071643213119</v>
      </c>
      <c r="M16" s="1">
        <f t="shared" si="2"/>
        <v>127.50366517286636</v>
      </c>
      <c r="N16" s="1">
        <f t="shared" si="3"/>
        <v>52.813747366879305</v>
      </c>
    </row>
    <row r="17" spans="1:14" x14ac:dyDescent="0.25">
      <c r="A17" t="s">
        <v>92</v>
      </c>
      <c r="B17" s="5">
        <f>B15+B6*B16</f>
        <v>10</v>
      </c>
      <c r="C17" t="s">
        <v>4</v>
      </c>
      <c r="D17" t="s">
        <v>6</v>
      </c>
      <c r="E17" s="4" t="s">
        <v>114</v>
      </c>
      <c r="F17" s="35">
        <f>IFERROR(ATAN(F27/F26)*180/PI(),0)</f>
        <v>3.2704879231835657</v>
      </c>
      <c r="G17" t="s">
        <v>3</v>
      </c>
      <c r="J17">
        <v>25</v>
      </c>
      <c r="K17" s="1">
        <f t="shared" si="0"/>
        <v>114.96981728572365</v>
      </c>
      <c r="L17" s="1">
        <f t="shared" si="1"/>
        <v>53.611306257013872</v>
      </c>
      <c r="M17" s="1">
        <f t="shared" si="2"/>
        <v>107.18517687893255</v>
      </c>
      <c r="N17" s="1">
        <f t="shared" si="3"/>
        <v>49.981268819344336</v>
      </c>
    </row>
    <row r="18" spans="1:14" x14ac:dyDescent="0.25">
      <c r="J18">
        <v>30</v>
      </c>
      <c r="K18" s="1">
        <f t="shared" si="0"/>
        <v>80.129013072492569</v>
      </c>
      <c r="L18" s="1">
        <f t="shared" si="1"/>
        <v>46.262507267302624</v>
      </c>
      <c r="M18" s="1">
        <f t="shared" si="2"/>
        <v>73.743774171322272</v>
      </c>
      <c r="N18" s="1">
        <f t="shared" si="3"/>
        <v>42.575987868871884</v>
      </c>
    </row>
    <row r="19" spans="1:14" x14ac:dyDescent="0.25">
      <c r="J19">
        <v>35</v>
      </c>
      <c r="K19" s="1">
        <f t="shared" si="0"/>
        <v>54.157910007855293</v>
      </c>
      <c r="L19" s="1">
        <f t="shared" si="1"/>
        <v>37.921776841183352</v>
      </c>
      <c r="M19" s="1">
        <f t="shared" si="2"/>
        <v>48.880280737626833</v>
      </c>
      <c r="N19" s="1">
        <f t="shared" si="3"/>
        <v>34.226341042293178</v>
      </c>
    </row>
    <row r="20" spans="1:14" x14ac:dyDescent="0.25">
      <c r="A20" s="19" t="s">
        <v>52</v>
      </c>
      <c r="D20" s="19" t="s">
        <v>58</v>
      </c>
      <c r="J20">
        <v>40</v>
      </c>
      <c r="K20" s="1">
        <f>Grundbruch_Streifen($B$4,$B$5,$B$6,$B$17,$B$16,$B$9,J20,$F$15,$F$5,$F$10)</f>
        <v>35.847210288252029</v>
      </c>
      <c r="L20" s="1">
        <f t="shared" si="1"/>
        <v>30.079380931606671</v>
      </c>
      <c r="M20" s="1">
        <f>Grundbruch_Streifen($B$4*1.5,ATAN(TAN($B$5/180*PI())*1.2)*180/PI(),$B$6,$B$17,$B$16,$B$9,J20,$F$15,$F$5,$F$10)/$E$30</f>
        <v>31.438015217881389</v>
      </c>
      <c r="N20" s="1">
        <f t="shared" si="3"/>
        <v>26.379626974269989</v>
      </c>
    </row>
    <row r="21" spans="1:14" x14ac:dyDescent="0.25">
      <c r="A21" t="s">
        <v>57</v>
      </c>
      <c r="B21" s="37" t="s">
        <v>55</v>
      </c>
      <c r="E21" t="s">
        <v>78</v>
      </c>
      <c r="F21" s="33">
        <v>350</v>
      </c>
      <c r="G21" t="s">
        <v>19</v>
      </c>
      <c r="J21">
        <v>90</v>
      </c>
      <c r="K21" s="1"/>
      <c r="L21">
        <v>0</v>
      </c>
      <c r="M21" s="15"/>
      <c r="N21" s="1">
        <f t="shared" si="3"/>
        <v>0</v>
      </c>
    </row>
    <row r="22" spans="1:14" x14ac:dyDescent="0.25">
      <c r="A22" t="s">
        <v>85</v>
      </c>
      <c r="B22" s="18">
        <f>(1+SIN(B5/180*PI()))/(1-SIN(B5/180*PI()))-0*(1-SIN(B5/180*PI()))/(1+SIN(B5/180*PI()))</f>
        <v>2.662939928785077</v>
      </c>
      <c r="E22" t="s">
        <v>79</v>
      </c>
      <c r="F22" s="33">
        <v>20</v>
      </c>
      <c r="G22" t="s">
        <v>19</v>
      </c>
    </row>
    <row r="23" spans="1:14" x14ac:dyDescent="0.25">
      <c r="A23" t="s">
        <v>86</v>
      </c>
      <c r="B23" s="15">
        <f>IF(B21="ja",0.5*B16*B16*B6*B22,0)/1.4</f>
        <v>0</v>
      </c>
      <c r="C23" t="s">
        <v>19</v>
      </c>
      <c r="E23" t="s">
        <v>60</v>
      </c>
      <c r="F23" s="33">
        <v>0</v>
      </c>
      <c r="G23" t="s">
        <v>101</v>
      </c>
      <c r="K23" s="1"/>
      <c r="L23" s="1"/>
    </row>
    <row r="24" spans="1:14" x14ac:dyDescent="0.25">
      <c r="A24" s="19" t="s">
        <v>50</v>
      </c>
    </row>
    <row r="25" spans="1:14" x14ac:dyDescent="0.25">
      <c r="A25" t="s">
        <v>57</v>
      </c>
      <c r="B25" s="37" t="s">
        <v>56</v>
      </c>
      <c r="D25" s="19" t="s">
        <v>67</v>
      </c>
      <c r="J25" t="s">
        <v>38</v>
      </c>
    </row>
    <row r="26" spans="1:14" x14ac:dyDescent="0.25">
      <c r="A26" t="s">
        <v>54</v>
      </c>
      <c r="B26" s="15">
        <f>VLOOKUP(B25,S4:T6,2,FALSE)*B9*B11*25</f>
        <v>0</v>
      </c>
      <c r="C26" t="s">
        <v>19</v>
      </c>
      <c r="E26" t="s">
        <v>84</v>
      </c>
      <c r="F26" s="15">
        <f>F21+B26</f>
        <v>350</v>
      </c>
      <c r="G26" t="s">
        <v>19</v>
      </c>
      <c r="J26" t="s">
        <v>41</v>
      </c>
    </row>
    <row r="27" spans="1:14" x14ac:dyDescent="0.25">
      <c r="E27" t="s">
        <v>59</v>
      </c>
      <c r="F27" s="15">
        <f>F22-IF(B23&lt;F22,B23,F22)</f>
        <v>20</v>
      </c>
      <c r="G27" t="s">
        <v>19</v>
      </c>
      <c r="K27" t="s">
        <v>39</v>
      </c>
      <c r="L27" t="s">
        <v>42</v>
      </c>
    </row>
    <row r="28" spans="1:14" x14ac:dyDescent="0.25">
      <c r="A28" s="13" t="s">
        <v>65</v>
      </c>
      <c r="B28" s="13" t="str">
        <f>IF(LEFT(B31,4)="Fehl",B31,"(Vertikal und Horizontalkomponente)")</f>
        <v>(Vertikal und Horizontalkomponente)</v>
      </c>
      <c r="C28" s="13"/>
      <c r="D28" s="13"/>
      <c r="E28" s="13"/>
      <c r="F28" s="13"/>
      <c r="G28" s="13"/>
      <c r="K28" s="15">
        <f>-1/2</f>
        <v>-0.5</v>
      </c>
      <c r="L28">
        <v>0</v>
      </c>
    </row>
    <row r="29" spans="1:14" x14ac:dyDescent="0.25">
      <c r="A29" t="s">
        <v>22</v>
      </c>
      <c r="D29" s="25" t="s">
        <v>26</v>
      </c>
      <c r="E29" s="25"/>
      <c r="F29" s="25"/>
      <c r="K29" s="15">
        <f>1/2</f>
        <v>0.5</v>
      </c>
      <c r="L29">
        <f>-1*TAN(F10/180*PI())</f>
        <v>-8.7488663525924007E-2</v>
      </c>
    </row>
    <row r="30" spans="1:14" x14ac:dyDescent="0.25">
      <c r="A30" t="s">
        <v>75</v>
      </c>
      <c r="D30" s="27" t="s">
        <v>51</v>
      </c>
      <c r="E30" s="28">
        <v>1.8</v>
      </c>
      <c r="F30" s="25"/>
      <c r="K30" s="15">
        <f>K29</f>
        <v>0.5</v>
      </c>
      <c r="L30">
        <f>B11/B9+L28</f>
        <v>0.42499999999999999</v>
      </c>
    </row>
    <row r="31" spans="1:14" x14ac:dyDescent="0.25">
      <c r="A31" t="s">
        <v>81</v>
      </c>
      <c r="B31" s="36">
        <f>Grundbruch_Streifen(B4,B5,B6,B17,B16,B9,F17,F15,F5,F10)</f>
        <v>410.08008326823085</v>
      </c>
      <c r="C31" t="s">
        <v>19</v>
      </c>
      <c r="D31" s="25" t="s">
        <v>83</v>
      </c>
      <c r="E31" s="26" t="e">
        <f>Grundbruch_Streifen(B4*1.5,ATAN(TAN(B5/180*PI())*1.2)*180/PI(),B6,B17,B16,B9,F17,F15,F5,F10,F18)</f>
        <v>#VALUE!</v>
      </c>
      <c r="F31" s="25" t="s">
        <v>19</v>
      </c>
      <c r="K31" s="15">
        <f>K28</f>
        <v>-0.5</v>
      </c>
      <c r="L31">
        <f>L30</f>
        <v>0.42499999999999999</v>
      </c>
    </row>
    <row r="32" spans="1:14" x14ac:dyDescent="0.25">
      <c r="A32" t="s">
        <v>7</v>
      </c>
      <c r="B32" s="36">
        <f>B31*TAN(F17/180*PI())</f>
        <v>23.433147615327481</v>
      </c>
      <c r="C32" t="s">
        <v>19</v>
      </c>
      <c r="D32" s="25" t="s">
        <v>25</v>
      </c>
      <c r="E32" s="26" t="e">
        <f>E31*TAN(F17/180*PI())</f>
        <v>#VALUE!</v>
      </c>
      <c r="F32" s="25" t="s">
        <v>19</v>
      </c>
      <c r="K32" s="15">
        <f>K28</f>
        <v>-0.5</v>
      </c>
      <c r="L32">
        <f>L28</f>
        <v>0</v>
      </c>
    </row>
    <row r="33" spans="1:12" x14ac:dyDescent="0.25">
      <c r="A33" t="s">
        <v>74</v>
      </c>
      <c r="D33" s="25" t="s">
        <v>74</v>
      </c>
      <c r="E33" s="25"/>
      <c r="F33" s="25"/>
    </row>
    <row r="34" spans="1:12" x14ac:dyDescent="0.25">
      <c r="A34" s="16" t="s">
        <v>27</v>
      </c>
      <c r="B34" s="15">
        <f>B31/((B9-2*F15))</f>
        <v>205.04004163411543</v>
      </c>
      <c r="C34" t="s">
        <v>4</v>
      </c>
      <c r="D34" s="29" t="s">
        <v>76</v>
      </c>
      <c r="E34" s="30" t="e">
        <f>E31/(B9-2*F15)/E30</f>
        <v>#VALUE!</v>
      </c>
      <c r="F34" s="31" t="s">
        <v>4</v>
      </c>
      <c r="J34" t="s">
        <v>44</v>
      </c>
      <c r="K34">
        <f>(1/2-2*F15/B9)</f>
        <v>0.5</v>
      </c>
      <c r="L34">
        <f>-(1-2*F15/B9)*TAN(F10/180*PI())</f>
        <v>-8.7488663525924007E-2</v>
      </c>
    </row>
    <row r="35" spans="1:12" x14ac:dyDescent="0.25">
      <c r="D35" s="32" t="s">
        <v>77</v>
      </c>
      <c r="E35" s="30">
        <f>F26/((B9-2*F15))</f>
        <v>175</v>
      </c>
      <c r="F35" s="31" t="s">
        <v>4</v>
      </c>
      <c r="K35">
        <f>K34</f>
        <v>0.5</v>
      </c>
      <c r="L35">
        <f>B11/B9</f>
        <v>0.42499999999999999</v>
      </c>
    </row>
    <row r="36" spans="1:12" x14ac:dyDescent="0.25">
      <c r="A36" s="20" t="s">
        <v>82</v>
      </c>
      <c r="B36" s="20"/>
      <c r="C36" s="20"/>
      <c r="D36" s="20"/>
      <c r="E36" s="20"/>
      <c r="F36" s="20"/>
      <c r="G36" s="20"/>
    </row>
    <row r="37" spans="1:12" x14ac:dyDescent="0.25">
      <c r="A37" s="38" t="s">
        <v>94</v>
      </c>
      <c r="B37" s="39"/>
      <c r="C37" s="39"/>
      <c r="D37" s="39"/>
      <c r="E37" s="39"/>
      <c r="F37" s="39"/>
      <c r="G37" s="40"/>
      <c r="J37" t="s">
        <v>40</v>
      </c>
      <c r="K37" t="s">
        <v>39</v>
      </c>
      <c r="L37" t="s">
        <v>42</v>
      </c>
    </row>
    <row r="38" spans="1:12" x14ac:dyDescent="0.25">
      <c r="A38" s="41" t="s">
        <v>71</v>
      </c>
      <c r="B38" s="42">
        <f>F26</f>
        <v>350</v>
      </c>
      <c r="C38" s="43" t="s">
        <v>19</v>
      </c>
      <c r="D38" s="44" t="str">
        <f>IF(B38&lt;F38,"&lt;=","&gt;")</f>
        <v>&lt;=</v>
      </c>
      <c r="E38" s="45" t="s">
        <v>70</v>
      </c>
      <c r="F38" s="42">
        <f>(B31^2+B32^2)^0.5*COS((F10-F17)/180*PI())</f>
        <v>410.5619381301625</v>
      </c>
      <c r="G38" s="46" t="s">
        <v>19</v>
      </c>
      <c r="J38" t="s">
        <v>43</v>
      </c>
      <c r="K38">
        <f>(1/2-F15/B9)-1/2</f>
        <v>0</v>
      </c>
      <c r="L38">
        <f>-(1/2-F15/B9)*TAN(F10/180*PI())</f>
        <v>-4.3744331762962003E-2</v>
      </c>
    </row>
    <row r="39" spans="1:12" x14ac:dyDescent="0.25">
      <c r="A39" s="47" t="str">
        <f>IF(F38&gt;B38,"Grundbruchnachweis erfüllt", "Grundbruchnachweis NICHT erfüllt")</f>
        <v>Grundbruchnachweis erfüllt</v>
      </c>
      <c r="B39" s="48"/>
      <c r="C39" s="48"/>
      <c r="D39" s="48"/>
      <c r="E39" s="48"/>
      <c r="F39" s="48"/>
      <c r="G39" s="49"/>
      <c r="K39">
        <f>K38+SIN(F17/180*PI())</f>
        <v>5.7049790538512959E-2</v>
      </c>
      <c r="L39">
        <f>L38+COS(F17/180*PI())</f>
        <v>0.95462700266101463</v>
      </c>
    </row>
    <row r="40" spans="1:12" x14ac:dyDescent="0.25">
      <c r="A40" s="38" t="s">
        <v>93</v>
      </c>
      <c r="B40" s="39"/>
      <c r="C40" s="39"/>
      <c r="D40" s="39"/>
      <c r="E40" s="39"/>
      <c r="F40" s="39"/>
      <c r="G40" s="40"/>
    </row>
    <row r="41" spans="1:12" x14ac:dyDescent="0.25">
      <c r="A41" s="59" t="s">
        <v>108</v>
      </c>
      <c r="B41" s="60">
        <f>F26</f>
        <v>350</v>
      </c>
      <c r="C41" t="s">
        <v>1</v>
      </c>
      <c r="D41" t="s">
        <v>6</v>
      </c>
      <c r="F41" s="15">
        <f>IFERROR(ATAN(B42/B41)*180/PI(),0)</f>
        <v>3.2704879231835657</v>
      </c>
      <c r="G41" s="46" t="s">
        <v>3</v>
      </c>
      <c r="J41" t="s">
        <v>45</v>
      </c>
      <c r="K41" s="15">
        <f>K28</f>
        <v>-0.5</v>
      </c>
      <c r="L41">
        <f>B16/B9+L28</f>
        <v>0</v>
      </c>
    </row>
    <row r="42" spans="1:12" x14ac:dyDescent="0.25">
      <c r="A42" s="43" t="s">
        <v>109</v>
      </c>
      <c r="B42" s="15">
        <f>F22</f>
        <v>20</v>
      </c>
      <c r="C42" t="s">
        <v>1</v>
      </c>
      <c r="D42" t="s">
        <v>110</v>
      </c>
      <c r="E42" s="43"/>
      <c r="F42" s="60">
        <f>F10</f>
        <v>5</v>
      </c>
      <c r="G42" s="46" t="s">
        <v>3</v>
      </c>
      <c r="K42" s="15">
        <f>K41-0.3</f>
        <v>-0.8</v>
      </c>
      <c r="L42">
        <f>L41+(K42-K41)*TAN(F5/180*PI())</f>
        <v>0</v>
      </c>
    </row>
    <row r="43" spans="1:12" x14ac:dyDescent="0.25">
      <c r="A43" s="14" t="s">
        <v>80</v>
      </c>
      <c r="B43" s="24">
        <v>0.5</v>
      </c>
      <c r="C43" s="23" t="str">
        <f>"*φd= "&amp;ROUND(B43*ATAN(TAN(B5/180*PI())/1.2)*180/PI(),1)&amp;"° und c' = 0 kPa)"</f>
        <v>*φd= 11.5° und c' = 0 kPa)</v>
      </c>
      <c r="G43" s="51"/>
    </row>
    <row r="44" spans="1:12" x14ac:dyDescent="0.25">
      <c r="A44" s="41" t="s">
        <v>104</v>
      </c>
      <c r="B44" s="50">
        <f>(B41^2+B42^2)^0.5*SIN((F41-F42)/180*PI())</f>
        <v>-10.580615999845447</v>
      </c>
      <c r="C44" s="43" t="s">
        <v>19</v>
      </c>
      <c r="D44" s="44" t="str">
        <f>IF(B44&lt;=F44,"&lt;=","&gt;")</f>
        <v>&lt;=</v>
      </c>
      <c r="E44" s="44" t="s">
        <v>105</v>
      </c>
      <c r="F44" s="42">
        <f>(F26^2+F27^2)^0.5*COS((F41-F42)/180*PI())*TAN(MIN(35/180*PI(),ATAN(TAN(B5/180*PI())/1.2)*B43))+B23</f>
        <v>71.312031450176477</v>
      </c>
      <c r="G44" s="51" t="s">
        <v>19</v>
      </c>
    </row>
    <row r="45" spans="1:12" x14ac:dyDescent="0.25">
      <c r="A45" s="47" t="str">
        <f>IF(B44&lt;&gt;0,IF(F44&gt;B44,"Gleitnachweis erfüllt", "Gleitnachweis NICHT erfüllt"),"Gleitnachweis erfüllt, keine Horizontalkraft. ")</f>
        <v>Gleitnachweis erfüllt</v>
      </c>
      <c r="B45" s="48"/>
      <c r="C45" s="48"/>
      <c r="D45" s="48"/>
      <c r="E45" s="48"/>
      <c r="F45" s="48"/>
      <c r="G45" s="49"/>
    </row>
    <row r="47" spans="1:12" x14ac:dyDescent="0.25">
      <c r="A47" t="s">
        <v>100</v>
      </c>
    </row>
    <row r="48" spans="1:12" ht="18" x14ac:dyDescent="0.35">
      <c r="C48" s="54"/>
      <c r="D48" s="21" t="s">
        <v>107</v>
      </c>
      <c r="E48" s="44" t="s">
        <v>97</v>
      </c>
      <c r="F48" s="52">
        <f>1/3</f>
        <v>0.33333333333333331</v>
      </c>
    </row>
    <row r="49" spans="1:6" x14ac:dyDescent="0.25">
      <c r="C49" s="54"/>
      <c r="D49" s="56">
        <f>(F15/B9)^2</f>
        <v>0</v>
      </c>
      <c r="E49" s="55" t="str">
        <f>IF(D49&lt;1/100,"&lt;1/100","= 1/"&amp;ROUND(1/(D49),1))&amp;" "&amp;IF(D49&gt;F49,"&gt;","&lt;=")</f>
        <v>&lt;1/100 &lt;=</v>
      </c>
      <c r="F49" s="52">
        <f>F48</f>
        <v>0.33333333333333331</v>
      </c>
    </row>
    <row r="51" spans="1:6" x14ac:dyDescent="0.25">
      <c r="A51" s="61" t="s">
        <v>116</v>
      </c>
    </row>
    <row r="52" spans="1:6" x14ac:dyDescent="0.25">
      <c r="A52" t="s">
        <v>46</v>
      </c>
      <c r="D52" t="s">
        <v>73</v>
      </c>
    </row>
    <row r="53" spans="1:6" x14ac:dyDescent="0.25">
      <c r="A53" t="s">
        <v>48</v>
      </c>
      <c r="C53" s="17">
        <f>1-Grundbruch_Streifen(0,B5,B6,B17,B16,B9,F17,F15,F5,F10)/Grundbruch_Streifen(B4,B5,B6,B17,B16,B9,F17,F15,F5,F10)</f>
        <v>6.1021309348403108E-2</v>
      </c>
      <c r="D53" s="15">
        <f>$B$34*C53</f>
        <v>12.51181180936481</v>
      </c>
      <c r="E53" t="s">
        <v>4</v>
      </c>
    </row>
    <row r="54" spans="1:6" x14ac:dyDescent="0.25">
      <c r="A54" t="s">
        <v>47</v>
      </c>
      <c r="C54" s="17">
        <f>1-Grundbruch_Streifen(B4,B5,B6,0,B16,B9,F17,F15,F5,F10)/Grundbruch_Streifen(B4,B5,B6,B17,B16,B9,F17,F15,F5,F10)</f>
        <v>0.4230269073566314</v>
      </c>
      <c r="D54" s="15">
        <f>$B$34*C54</f>
        <v>86.737454696754796</v>
      </c>
      <c r="E54" t="s">
        <v>4</v>
      </c>
    </row>
    <row r="55" spans="1:6" x14ac:dyDescent="0.25">
      <c r="A55" t="s">
        <v>66</v>
      </c>
      <c r="C55" s="17">
        <f>1-Grundbruch_Streifen(B4,B5,0,B17,B16,B9,F17,F15,F5,F10)/Grundbruch_Streifen(B4,B5,B6,B17,B16,B9,F17,F15,F5,F10)</f>
        <v>0.51592216729581142</v>
      </c>
      <c r="D55" s="15">
        <f>$B$34*C55</f>
        <v>105.78470266229624</v>
      </c>
      <c r="E55" t="s">
        <v>4</v>
      </c>
    </row>
    <row r="56" spans="1:6" x14ac:dyDescent="0.25">
      <c r="A56" t="s">
        <v>72</v>
      </c>
      <c r="C56" s="22">
        <f>SUM(C53:C55)</f>
        <v>0.99997038400084592</v>
      </c>
      <c r="D56" s="15">
        <f>$B$34*C56</f>
        <v>205.03396916841584</v>
      </c>
      <c r="E56" t="s">
        <v>87</v>
      </c>
    </row>
  </sheetData>
  <dataValidations count="2">
    <dataValidation type="list" allowBlank="1" showInputMessage="1" showErrorMessage="1" sqref="B25">
      <formula1>drdwn_EG</formula1>
    </dataValidation>
    <dataValidation type="list" allowBlank="1" showInputMessage="1" showErrorMessage="1" sqref="B21">
      <formula1>drdwn_EP</formula1>
    </dataValidation>
  </dataValidations>
  <pageMargins left="0.7" right="0.7" top="0.96875" bottom="0.78740157499999996" header="0.3" footer="0.3"/>
  <pageSetup paperSize="9" orientation="portrait" r:id="rId1"/>
  <headerFooter>
    <oddHeader>&amp;L&amp;"Arial,Standard"&amp;10[Auftraggeber]
[Projekt]
Projektnummer: [115123123]&amp;R&amp;"Arial,Standard"&amp;10Grundbruchnachweis
Fundament XXX
Beilage 1</oddHeader>
    <oddFooter>&amp;L&amp;"Arial,Standard"&amp;10[Kürzel]&amp;C&amp;"Arial,Standard"&amp;10Pöyry Schweiz AG&amp;R&amp;"Arial,Standard"&amp;10Seite 1/1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T56"/>
  <sheetViews>
    <sheetView tabSelected="1" zoomScaleNormal="100" zoomScalePageLayoutView="115" workbookViewId="0">
      <selection activeCell="B38" sqref="B38"/>
    </sheetView>
  </sheetViews>
  <sheetFormatPr baseColWidth="10" defaultRowHeight="15" x14ac:dyDescent="0.25"/>
  <cols>
    <col min="1" max="1" width="17.28515625" customWidth="1"/>
    <col min="2" max="2" width="12.42578125" customWidth="1"/>
    <col min="3" max="3" width="8.140625" customWidth="1"/>
    <col min="4" max="4" width="16.28515625" customWidth="1"/>
    <col min="6" max="6" width="11.42578125" customWidth="1"/>
    <col min="7" max="7" width="8.42578125" customWidth="1"/>
    <col min="8" max="8" width="64.7109375" customWidth="1"/>
    <col min="9" max="9" width="7" customWidth="1"/>
    <col min="10" max="13" width="10.42578125" customWidth="1"/>
    <col min="15" max="15" width="12.7109375" bestFit="1" customWidth="1"/>
  </cols>
  <sheetData>
    <row r="1" spans="1:20" x14ac:dyDescent="0.25">
      <c r="A1" s="3" t="s">
        <v>11</v>
      </c>
      <c r="G1" s="53" t="s">
        <v>117</v>
      </c>
      <c r="J1" t="s">
        <v>68</v>
      </c>
      <c r="R1" t="s">
        <v>69</v>
      </c>
    </row>
    <row r="3" spans="1:20" x14ac:dyDescent="0.25">
      <c r="A3" s="9" t="s">
        <v>13</v>
      </c>
      <c r="B3" s="10"/>
      <c r="C3" s="10"/>
      <c r="D3" s="10"/>
      <c r="E3" s="10"/>
      <c r="F3" s="10"/>
      <c r="G3" s="10"/>
      <c r="K3" t="s">
        <v>23</v>
      </c>
      <c r="M3" t="s">
        <v>24</v>
      </c>
    </row>
    <row r="4" spans="1:20" x14ac:dyDescent="0.25">
      <c r="A4" t="s">
        <v>16</v>
      </c>
      <c r="B4" s="2">
        <v>5</v>
      </c>
      <c r="C4" t="s">
        <v>4</v>
      </c>
      <c r="D4" t="s">
        <v>12</v>
      </c>
      <c r="K4" s="1" t="s">
        <v>22</v>
      </c>
      <c r="L4" s="1"/>
      <c r="M4" t="str">
        <f>"Globale Sicherheit (FS="&amp;E30&amp;")"</f>
        <v>Globale Sicherheit (FS=1.8)</v>
      </c>
      <c r="R4" t="s">
        <v>53</v>
      </c>
      <c r="S4" t="s">
        <v>63</v>
      </c>
      <c r="T4">
        <v>1.35</v>
      </c>
    </row>
    <row r="5" spans="1:20" x14ac:dyDescent="0.25">
      <c r="A5" s="4" t="s">
        <v>15</v>
      </c>
      <c r="B5" s="2">
        <v>30</v>
      </c>
      <c r="C5" t="s">
        <v>3</v>
      </c>
      <c r="D5" t="s">
        <v>14</v>
      </c>
      <c r="F5" s="2">
        <v>0</v>
      </c>
      <c r="G5" t="s">
        <v>3</v>
      </c>
      <c r="J5" t="s">
        <v>8</v>
      </c>
      <c r="K5" t="s">
        <v>0</v>
      </c>
      <c r="L5" t="s">
        <v>7</v>
      </c>
      <c r="M5" t="s">
        <v>20</v>
      </c>
      <c r="N5" t="s">
        <v>21</v>
      </c>
      <c r="R5" t="s">
        <v>111</v>
      </c>
      <c r="S5" t="s">
        <v>64</v>
      </c>
      <c r="T5">
        <v>1</v>
      </c>
    </row>
    <row r="6" spans="1:20" x14ac:dyDescent="0.25">
      <c r="A6" s="6" t="s">
        <v>17</v>
      </c>
      <c r="B6" s="2">
        <v>20</v>
      </c>
      <c r="C6" t="s">
        <v>2</v>
      </c>
      <c r="J6" t="s">
        <v>3</v>
      </c>
      <c r="K6" t="s">
        <v>1</v>
      </c>
      <c r="L6" t="s">
        <v>1</v>
      </c>
      <c r="M6" t="s">
        <v>1</v>
      </c>
      <c r="N6" t="s">
        <v>1</v>
      </c>
      <c r="S6" t="s">
        <v>56</v>
      </c>
      <c r="T6">
        <v>0</v>
      </c>
    </row>
    <row r="7" spans="1:20" x14ac:dyDescent="0.25">
      <c r="J7">
        <v>0</v>
      </c>
      <c r="K7" s="1">
        <f>Grundbruch_Rechteck($B$4,$B$5,$B$6,$B$17,$B$16,$B$9,$B$10,J7,$F$15,$F$16,$F$5,$F$10)</f>
        <v>4729.6921136091441</v>
      </c>
      <c r="L7" s="1">
        <f>K7*TAN(J7/180*PI())</f>
        <v>0</v>
      </c>
      <c r="M7" s="1">
        <f>Grundbruch_Rechteck($B$4*1.5,ATAN(TAN($B$5/180*PI())*1.2)*180/PI(),$B$6,$B$17,$B$16,$B$9,$B$10,J7,$F$15,$F$16,$F$5,$F$10)/$E$30</f>
        <v>4984.1466177749135</v>
      </c>
      <c r="N7" s="1">
        <f>M7*TAN(J7/180*PI())</f>
        <v>0</v>
      </c>
    </row>
    <row r="8" spans="1:20" x14ac:dyDescent="0.25">
      <c r="A8" s="7" t="s">
        <v>96</v>
      </c>
      <c r="B8" s="8"/>
      <c r="C8" s="8"/>
      <c r="D8" s="8"/>
      <c r="E8" s="8"/>
      <c r="F8" s="8"/>
      <c r="G8" s="8"/>
      <c r="J8">
        <v>2.5</v>
      </c>
      <c r="K8" s="1">
        <f t="shared" ref="K8:K20" si="0">Grundbruch_Rechteck($B$4,$B$5,$B$6,$B$17,$B$16,$B$9,$B$10,J8,$F$15,$F$16,$F$5,$F$10)</f>
        <v>4160.9721336643997</v>
      </c>
      <c r="L8" s="1">
        <f t="shared" ref="L8:L20" si="1">K8*TAN(J8/180*PI())</f>
        <v>181.67196677183097</v>
      </c>
      <c r="M8" s="1">
        <f t="shared" ref="M8:M20" si="2">Grundbruch_Rechteck($B$4*1.5,ATAN(TAN($B$5/180*PI())*1.2)*180/PI(),$B$6,$B$17,$B$16,$B$9,$B$10,J8,$F$15,$F$16,$F$5,$F$10)/$E$30</f>
        <v>4380.8698545679026</v>
      </c>
      <c r="N8" s="1">
        <f>M8*TAN(J8/180*PI())</f>
        <v>191.27290860991073</v>
      </c>
    </row>
    <row r="9" spans="1:20" x14ac:dyDescent="0.25">
      <c r="A9" t="s">
        <v>89</v>
      </c>
      <c r="B9" s="2">
        <v>2</v>
      </c>
      <c r="C9" t="s">
        <v>5</v>
      </c>
      <c r="D9" t="s">
        <v>12</v>
      </c>
      <c r="J9">
        <v>5</v>
      </c>
      <c r="K9" s="1">
        <f t="shared" si="0"/>
        <v>3649.396258419501</v>
      </c>
      <c r="L9" s="1">
        <f t="shared" si="1"/>
        <v>319.28080132562974</v>
      </c>
      <c r="M9" s="1">
        <f t="shared" si="2"/>
        <v>3838.1152730989338</v>
      </c>
      <c r="N9" s="1">
        <f t="shared" ref="N9:N21" si="3">M9*TAN(J9/180*PI())</f>
        <v>335.79157570186254</v>
      </c>
    </row>
    <row r="10" spans="1:20" x14ac:dyDescent="0.25">
      <c r="A10" t="s">
        <v>88</v>
      </c>
      <c r="B10" s="2">
        <v>6</v>
      </c>
      <c r="C10" t="s">
        <v>5</v>
      </c>
      <c r="D10" t="s">
        <v>110</v>
      </c>
      <c r="F10" s="2">
        <v>0</v>
      </c>
      <c r="G10" t="s">
        <v>3</v>
      </c>
      <c r="J10">
        <v>7.5</v>
      </c>
      <c r="K10" s="1">
        <f t="shared" si="0"/>
        <v>3189.3189204345044</v>
      </c>
      <c r="L10" s="1">
        <f t="shared" si="1"/>
        <v>419.88180147793946</v>
      </c>
      <c r="M10" s="1">
        <f t="shared" si="2"/>
        <v>3349.8193336739341</v>
      </c>
      <c r="N10" s="1">
        <f t="shared" si="3"/>
        <v>441.01208174471952</v>
      </c>
    </row>
    <row r="11" spans="1:20" x14ac:dyDescent="0.25">
      <c r="A11" t="s">
        <v>49</v>
      </c>
      <c r="B11">
        <v>0.85</v>
      </c>
      <c r="C11" t="s">
        <v>5</v>
      </c>
      <c r="J11">
        <v>10</v>
      </c>
      <c r="K11" s="1">
        <f t="shared" si="0"/>
        <v>2775.9604346840347</v>
      </c>
      <c r="L11" s="1">
        <f t="shared" si="1"/>
        <v>489.47672201399382</v>
      </c>
      <c r="M11" s="1">
        <f t="shared" si="2"/>
        <v>2910.8442711602197</v>
      </c>
      <c r="N11" s="1">
        <f t="shared" si="3"/>
        <v>513.26038164621389</v>
      </c>
    </row>
    <row r="12" spans="1:20" x14ac:dyDescent="0.25">
      <c r="J12">
        <v>12.5</v>
      </c>
      <c r="K12" s="1">
        <f t="shared" si="0"/>
        <v>2405.2697084004521</v>
      </c>
      <c r="L12" s="1">
        <f t="shared" si="1"/>
        <v>533.23545656912063</v>
      </c>
      <c r="M12" s="1">
        <f t="shared" si="2"/>
        <v>2516.8130042830885</v>
      </c>
      <c r="N12" s="1">
        <f t="shared" si="3"/>
        <v>557.96400991990333</v>
      </c>
    </row>
    <row r="13" spans="1:20" x14ac:dyDescent="0.25">
      <c r="A13" s="11" t="s">
        <v>9</v>
      </c>
      <c r="B13" s="12"/>
      <c r="C13" s="12"/>
      <c r="D13" s="12"/>
      <c r="E13" s="12"/>
      <c r="F13" s="12"/>
      <c r="G13" s="12"/>
      <c r="J13">
        <v>15</v>
      </c>
      <c r="K13" s="1">
        <f t="shared" si="0"/>
        <v>2073.7776466044852</v>
      </c>
      <c r="L13" s="1">
        <f t="shared" si="1"/>
        <v>555.66704568938599</v>
      </c>
      <c r="M13" s="1">
        <f t="shared" si="2"/>
        <v>2164.0584901543152</v>
      </c>
      <c r="N13" s="1">
        <f t="shared" si="3"/>
        <v>579.85772481056347</v>
      </c>
    </row>
    <row r="14" spans="1:20" x14ac:dyDescent="0.25">
      <c r="A14" s="19" t="s">
        <v>18</v>
      </c>
      <c r="D14" t="s">
        <v>12</v>
      </c>
      <c r="J14">
        <v>17.5</v>
      </c>
      <c r="K14" s="1">
        <f t="shared" si="0"/>
        <v>1778.6071326138149</v>
      </c>
      <c r="L14" s="1">
        <f t="shared" si="1"/>
        <v>560.79267480465739</v>
      </c>
      <c r="M14" s="1">
        <f t="shared" si="2"/>
        <v>1849.3767970379749</v>
      </c>
      <c r="N14" s="1">
        <f t="shared" si="3"/>
        <v>583.10626428696719</v>
      </c>
    </row>
    <row r="15" spans="1:20" x14ac:dyDescent="0.25">
      <c r="A15" t="s">
        <v>91</v>
      </c>
      <c r="B15" s="2">
        <v>0</v>
      </c>
      <c r="C15" t="s">
        <v>4</v>
      </c>
      <c r="D15" t="s">
        <v>115</v>
      </c>
      <c r="E15" t="s">
        <v>112</v>
      </c>
      <c r="F15" s="34">
        <f>IFERROR(F23/F26,0)</f>
        <v>0</v>
      </c>
      <c r="G15" t="s">
        <v>5</v>
      </c>
      <c r="J15">
        <v>20</v>
      </c>
      <c r="K15" s="1">
        <f t="shared" si="0"/>
        <v>1517.1546219906863</v>
      </c>
      <c r="L15" s="1">
        <f t="shared" si="1"/>
        <v>552.19912318400179</v>
      </c>
      <c r="M15" s="1">
        <f t="shared" si="2"/>
        <v>1570.1251597535511</v>
      </c>
      <c r="N15" s="1">
        <f t="shared" si="3"/>
        <v>571.47882222275837</v>
      </c>
    </row>
    <row r="16" spans="1:20" x14ac:dyDescent="0.25">
      <c r="A16" t="s">
        <v>90</v>
      </c>
      <c r="B16" s="2">
        <v>0.5</v>
      </c>
      <c r="C16" t="s">
        <v>5</v>
      </c>
      <c r="D16" t="s">
        <v>115</v>
      </c>
      <c r="E16" t="s">
        <v>113</v>
      </c>
      <c r="F16" s="34">
        <f>IFERROR(F24/F26,0)</f>
        <v>0</v>
      </c>
      <c r="G16" t="s">
        <v>5</v>
      </c>
      <c r="J16">
        <v>22.5</v>
      </c>
      <c r="K16" s="1">
        <f t="shared" si="0"/>
        <v>1287.2148828182926</v>
      </c>
      <c r="L16" s="1">
        <f t="shared" si="1"/>
        <v>533.18186215183107</v>
      </c>
      <c r="M16" s="1">
        <f t="shared" si="2"/>
        <v>1323.8858502272774</v>
      </c>
      <c r="N16" s="1">
        <f t="shared" si="3"/>
        <v>548.37147419797429</v>
      </c>
    </row>
    <row r="17" spans="1:14" x14ac:dyDescent="0.25">
      <c r="A17" t="s">
        <v>92</v>
      </c>
      <c r="B17" s="5">
        <f>B15+B6*B16</f>
        <v>10</v>
      </c>
      <c r="C17" t="s">
        <v>4</v>
      </c>
      <c r="D17" t="s">
        <v>6</v>
      </c>
      <c r="E17" s="4" t="s">
        <v>114</v>
      </c>
      <c r="F17" s="35">
        <f>IFERROR(ATAN(F27/F26)*180/PI(),0)</f>
        <v>12.680383491819819</v>
      </c>
      <c r="G17" t="s">
        <v>3</v>
      </c>
      <c r="J17">
        <v>25</v>
      </c>
      <c r="K17" s="1">
        <f t="shared" si="0"/>
        <v>1086.8384514905101</v>
      </c>
      <c r="L17" s="1">
        <f t="shared" si="1"/>
        <v>506.8010931073448</v>
      </c>
      <c r="M17" s="1">
        <f t="shared" si="2"/>
        <v>1108.6611261485359</v>
      </c>
      <c r="N17" s="1">
        <f t="shared" si="3"/>
        <v>516.97717342180727</v>
      </c>
    </row>
    <row r="18" spans="1:14" x14ac:dyDescent="0.25">
      <c r="J18">
        <v>30</v>
      </c>
      <c r="K18" s="1">
        <f t="shared" si="0"/>
        <v>766.55187239216605</v>
      </c>
      <c r="L18" s="1">
        <f t="shared" si="1"/>
        <v>442.56892987342871</v>
      </c>
      <c r="M18" s="1">
        <f t="shared" si="2"/>
        <v>763.34225168144837</v>
      </c>
      <c r="N18" s="1">
        <f t="shared" si="3"/>
        <v>440.71585449209925</v>
      </c>
    </row>
    <row r="19" spans="1:14" x14ac:dyDescent="0.25">
      <c r="J19">
        <v>35</v>
      </c>
      <c r="K19" s="1">
        <f t="shared" si="0"/>
        <v>539.56963406933244</v>
      </c>
      <c r="L19" s="1">
        <f t="shared" si="1"/>
        <v>377.81072516440116</v>
      </c>
      <c r="M19" s="1">
        <f t="shared" si="2"/>
        <v>518.39380698067976</v>
      </c>
      <c r="N19" s="1">
        <f t="shared" si="3"/>
        <v>362.98325140910123</v>
      </c>
    </row>
    <row r="20" spans="1:14" x14ac:dyDescent="0.25">
      <c r="A20" s="19" t="s">
        <v>52</v>
      </c>
      <c r="D20" s="19" t="s">
        <v>58</v>
      </c>
      <c r="J20">
        <v>40</v>
      </c>
      <c r="K20" s="1">
        <f t="shared" si="0"/>
        <v>386.15965539391237</v>
      </c>
      <c r="L20" s="1">
        <f t="shared" si="1"/>
        <v>324.02642441657741</v>
      </c>
      <c r="M20" s="1">
        <f t="shared" si="2"/>
        <v>354.95297099156596</v>
      </c>
      <c r="N20" s="1">
        <f t="shared" si="3"/>
        <v>297.84090704430275</v>
      </c>
    </row>
    <row r="21" spans="1:14" x14ac:dyDescent="0.25">
      <c r="A21" t="s">
        <v>57</v>
      </c>
      <c r="B21" s="37" t="s">
        <v>111</v>
      </c>
      <c r="E21" t="s">
        <v>78</v>
      </c>
      <c r="F21" s="33">
        <v>2000</v>
      </c>
      <c r="G21" t="s">
        <v>1</v>
      </c>
      <c r="J21">
        <v>90</v>
      </c>
      <c r="K21" s="1"/>
      <c r="L21">
        <v>0</v>
      </c>
      <c r="M21" s="15"/>
      <c r="N21" s="1">
        <f t="shared" si="3"/>
        <v>0</v>
      </c>
    </row>
    <row r="22" spans="1:14" x14ac:dyDescent="0.25">
      <c r="A22" t="s">
        <v>85</v>
      </c>
      <c r="B22" s="18">
        <f>(1+SIN(B5/180*PI()))/(1-SIN(B5/180*PI()))-0*(1-SIN(B5/180*PI()))/(1+SIN(B5/180*PI()))</f>
        <v>3</v>
      </c>
      <c r="E22" t="s">
        <v>79</v>
      </c>
      <c r="F22" s="33">
        <v>450</v>
      </c>
      <c r="G22" t="s">
        <v>1</v>
      </c>
    </row>
    <row r="23" spans="1:14" x14ac:dyDescent="0.25">
      <c r="A23" t="s">
        <v>86</v>
      </c>
      <c r="B23" s="15">
        <f>IF(B21="ja",0.5*B16*B16*B6*B22*B10,0)/1.4</f>
        <v>0</v>
      </c>
      <c r="C23" t="s">
        <v>1</v>
      </c>
      <c r="E23" t="s">
        <v>60</v>
      </c>
      <c r="F23" s="33">
        <v>0</v>
      </c>
      <c r="G23" t="s">
        <v>62</v>
      </c>
      <c r="K23" s="1"/>
      <c r="L23" s="1"/>
    </row>
    <row r="24" spans="1:14" x14ac:dyDescent="0.25">
      <c r="A24" s="19" t="s">
        <v>50</v>
      </c>
      <c r="E24" t="s">
        <v>61</v>
      </c>
      <c r="F24" s="33">
        <v>0</v>
      </c>
      <c r="G24" t="s">
        <v>62</v>
      </c>
    </row>
    <row r="25" spans="1:14" x14ac:dyDescent="0.25">
      <c r="A25" t="s">
        <v>57</v>
      </c>
      <c r="B25" s="37" t="s">
        <v>56</v>
      </c>
      <c r="D25" s="19" t="s">
        <v>67</v>
      </c>
      <c r="J25" t="s">
        <v>38</v>
      </c>
    </row>
    <row r="26" spans="1:14" x14ac:dyDescent="0.25">
      <c r="A26" t="s">
        <v>54</v>
      </c>
      <c r="B26" s="1">
        <f>VLOOKUP(B25,S4:T6,2,FALSE)*B9*B10*B11*25</f>
        <v>0</v>
      </c>
      <c r="C26" t="s">
        <v>1</v>
      </c>
      <c r="E26" t="s">
        <v>84</v>
      </c>
      <c r="F26" s="15">
        <f>F21+B26</f>
        <v>2000</v>
      </c>
      <c r="G26" t="s">
        <v>1</v>
      </c>
      <c r="J26" t="s">
        <v>41</v>
      </c>
    </row>
    <row r="27" spans="1:14" x14ac:dyDescent="0.25">
      <c r="E27" t="s">
        <v>59</v>
      </c>
      <c r="F27" s="15">
        <f>F22-IF(B23&lt;F22,B23,F22)</f>
        <v>450</v>
      </c>
      <c r="G27" t="s">
        <v>1</v>
      </c>
      <c r="K27" t="s">
        <v>39</v>
      </c>
      <c r="L27" t="s">
        <v>42</v>
      </c>
    </row>
    <row r="28" spans="1:14" x14ac:dyDescent="0.25">
      <c r="A28" s="13" t="s">
        <v>65</v>
      </c>
      <c r="B28" s="13" t="str">
        <f>IF(LEFT(B31,4)="Fehl",B31,"(Vertikal und Horizontalkomponente)")</f>
        <v>(Vertikal und Horizontalkomponente)</v>
      </c>
      <c r="C28" s="13"/>
      <c r="D28" s="13"/>
      <c r="E28" s="13"/>
      <c r="F28" s="13"/>
      <c r="G28" s="13"/>
      <c r="K28" s="15">
        <f>-1/2</f>
        <v>-0.5</v>
      </c>
      <c r="L28">
        <v>0</v>
      </c>
    </row>
    <row r="29" spans="1:14" x14ac:dyDescent="0.25">
      <c r="A29" t="s">
        <v>22</v>
      </c>
      <c r="D29" s="25" t="s">
        <v>26</v>
      </c>
      <c r="E29" s="25"/>
      <c r="F29" s="25"/>
      <c r="K29" s="15">
        <f>1/2</f>
        <v>0.5</v>
      </c>
      <c r="L29">
        <f>-1*TAN(F10/180*PI())</f>
        <v>0</v>
      </c>
    </row>
    <row r="30" spans="1:14" x14ac:dyDescent="0.25">
      <c r="A30" t="s">
        <v>75</v>
      </c>
      <c r="D30" s="27" t="s">
        <v>51</v>
      </c>
      <c r="E30" s="28">
        <v>1.8</v>
      </c>
      <c r="F30" s="25"/>
      <c r="K30" s="15">
        <f>K29</f>
        <v>0.5</v>
      </c>
      <c r="L30">
        <f>B11/B9+L28</f>
        <v>0.42499999999999999</v>
      </c>
    </row>
    <row r="31" spans="1:14" x14ac:dyDescent="0.25">
      <c r="A31" t="s">
        <v>81</v>
      </c>
      <c r="B31" s="36">
        <f>Grundbruch_Rechteck(B4,B5,B6,B17,B16,B9,B10,F17,F15,F16,F5,F10)</f>
        <v>2380.0766093441994</v>
      </c>
      <c r="C31" t="s">
        <v>1</v>
      </c>
      <c r="D31" s="25" t="s">
        <v>83</v>
      </c>
      <c r="E31" s="26">
        <f>Grundbruch_Rechteck(B4*1.5,ATAN(TAN(B5/180*PI())*1.2)*180/PI(),B6,B17,B16,B9,B10,F17,F15,F16,F5,F10)</f>
        <v>4482.0330170514844</v>
      </c>
      <c r="F31" s="25" t="s">
        <v>1</v>
      </c>
      <c r="K31" s="15">
        <f>K28</f>
        <v>-0.5</v>
      </c>
      <c r="L31">
        <f>L30</f>
        <v>0.42499999999999999</v>
      </c>
    </row>
    <row r="32" spans="1:14" x14ac:dyDescent="0.25">
      <c r="A32" t="s">
        <v>7</v>
      </c>
      <c r="B32" s="36">
        <f>B31*TAN(F17/180*PI())</f>
        <v>535.51723710244494</v>
      </c>
      <c r="C32" t="s">
        <v>1</v>
      </c>
      <c r="D32" s="25" t="s">
        <v>25</v>
      </c>
      <c r="E32" s="26">
        <f>E31*TAN(F17/180*PI())</f>
        <v>1008.4574288365842</v>
      </c>
      <c r="F32" s="25" t="s">
        <v>1</v>
      </c>
      <c r="K32" s="15">
        <f>K28</f>
        <v>-0.5</v>
      </c>
      <c r="L32">
        <f>L28</f>
        <v>0</v>
      </c>
    </row>
    <row r="33" spans="1:12" x14ac:dyDescent="0.25">
      <c r="A33" t="s">
        <v>74</v>
      </c>
      <c r="D33" s="25" t="s">
        <v>74</v>
      </c>
      <c r="E33" s="25"/>
      <c r="F33" s="25"/>
    </row>
    <row r="34" spans="1:12" x14ac:dyDescent="0.25">
      <c r="A34" s="16" t="s">
        <v>27</v>
      </c>
      <c r="B34" s="15">
        <f>B31/((B10-2*F16)*(B9-2*F15))</f>
        <v>198.33971744534995</v>
      </c>
      <c r="C34" t="s">
        <v>4</v>
      </c>
      <c r="D34" s="29" t="s">
        <v>76</v>
      </c>
      <c r="E34" s="30">
        <f>E31/((B10-2*F16)*(B9-2*F15))/E30</f>
        <v>207.50152856719836</v>
      </c>
      <c r="F34" s="31" t="s">
        <v>4</v>
      </c>
      <c r="J34" t="s">
        <v>44</v>
      </c>
      <c r="K34">
        <f>(1/2-2*F15/B9)</f>
        <v>0.5</v>
      </c>
      <c r="L34">
        <f>-(1-2*F15/B9)*TAN(F10/180*PI())</f>
        <v>0</v>
      </c>
    </row>
    <row r="35" spans="1:12" x14ac:dyDescent="0.25">
      <c r="D35" s="32" t="s">
        <v>77</v>
      </c>
      <c r="E35" s="30">
        <f>F26/((B9-2*F15)*(B10-2*F16))</f>
        <v>166.66666666666666</v>
      </c>
      <c r="F35" s="31" t="s">
        <v>4</v>
      </c>
      <c r="K35">
        <f>K34</f>
        <v>0.5</v>
      </c>
      <c r="L35">
        <f>B11/B9</f>
        <v>0.42499999999999999</v>
      </c>
    </row>
    <row r="36" spans="1:12" x14ac:dyDescent="0.25">
      <c r="A36" s="20" t="s">
        <v>82</v>
      </c>
      <c r="B36" s="20"/>
      <c r="C36" s="20"/>
      <c r="D36" s="20"/>
      <c r="E36" s="20"/>
      <c r="F36" s="20"/>
      <c r="G36" s="20"/>
    </row>
    <row r="37" spans="1:12" x14ac:dyDescent="0.25">
      <c r="A37" s="38" t="s">
        <v>94</v>
      </c>
      <c r="B37" s="39"/>
      <c r="C37" s="39"/>
      <c r="D37" s="39"/>
      <c r="E37" s="39"/>
      <c r="F37" s="39"/>
      <c r="G37" s="40"/>
      <c r="J37" t="s">
        <v>40</v>
      </c>
      <c r="K37" t="s">
        <v>39</v>
      </c>
      <c r="L37" t="s">
        <v>42</v>
      </c>
    </row>
    <row r="38" spans="1:12" x14ac:dyDescent="0.25">
      <c r="A38" s="41" t="s">
        <v>71</v>
      </c>
      <c r="B38" s="42">
        <f>F26</f>
        <v>2000</v>
      </c>
      <c r="C38" s="43" t="s">
        <v>1</v>
      </c>
      <c r="D38" s="44" t="str">
        <f>IF(B38&lt;F38,"&lt;=","&gt;")</f>
        <v>&lt;=</v>
      </c>
      <c r="E38" s="45" t="s">
        <v>70</v>
      </c>
      <c r="F38" s="42">
        <f>(B31^2+B32^2)^0.5*COS((F10-F17)/180*PI())</f>
        <v>2380.0766093441994</v>
      </c>
      <c r="G38" s="46" t="s">
        <v>1</v>
      </c>
      <c r="J38" t="s">
        <v>43</v>
      </c>
      <c r="K38">
        <f>(1/2-F15/B9)-1/2</f>
        <v>0</v>
      </c>
      <c r="L38">
        <f>-(1/2-F15/B9)*TAN(F10/180*PI())</f>
        <v>0</v>
      </c>
    </row>
    <row r="39" spans="1:12" x14ac:dyDescent="0.25">
      <c r="A39" s="47" t="str">
        <f>IF(F38&gt;B38,"Grundbruchnachweis erfüllt", "Grundbruchnachweis NICHT erfüllt")</f>
        <v>Grundbruchnachweis erfüllt</v>
      </c>
      <c r="B39" s="48"/>
      <c r="C39" s="48"/>
      <c r="D39" s="48"/>
      <c r="E39" s="48"/>
      <c r="F39" s="48"/>
      <c r="G39" s="49"/>
      <c r="K39">
        <f>K38+SIN(F17/180*PI())</f>
        <v>0.21951219512195125</v>
      </c>
      <c r="L39">
        <f>L38+COS(F17/180*PI())</f>
        <v>0.97560975609756095</v>
      </c>
    </row>
    <row r="40" spans="1:12" x14ac:dyDescent="0.25">
      <c r="A40" s="38" t="s">
        <v>93</v>
      </c>
      <c r="B40" t="str">
        <f>IF(B21="nein","","(Seitlicher Erddruck auf Widerstandseite)")</f>
        <v/>
      </c>
      <c r="C40" s="39"/>
      <c r="D40" s="39"/>
      <c r="E40" s="39"/>
      <c r="F40" s="39"/>
      <c r="G40" s="40"/>
    </row>
    <row r="41" spans="1:12" x14ac:dyDescent="0.25">
      <c r="A41" s="59" t="s">
        <v>108</v>
      </c>
      <c r="B41" s="60">
        <f>F26</f>
        <v>2000</v>
      </c>
      <c r="C41" t="s">
        <v>1</v>
      </c>
      <c r="D41" t="s">
        <v>6</v>
      </c>
      <c r="F41" s="15">
        <f>IFERROR(ATAN(B42/B41)*180/PI(),0)</f>
        <v>12.680383491819819</v>
      </c>
      <c r="G41" s="46" t="s">
        <v>3</v>
      </c>
      <c r="J41" t="s">
        <v>45</v>
      </c>
      <c r="K41" s="15">
        <f>K28</f>
        <v>-0.5</v>
      </c>
      <c r="L41">
        <f>B16/B9+L28</f>
        <v>0.25</v>
      </c>
    </row>
    <row r="42" spans="1:12" x14ac:dyDescent="0.25">
      <c r="A42" s="43" t="s">
        <v>109</v>
      </c>
      <c r="B42" s="15">
        <f>F22</f>
        <v>450</v>
      </c>
      <c r="C42" t="s">
        <v>1</v>
      </c>
      <c r="D42" t="s">
        <v>110</v>
      </c>
      <c r="E42" s="43"/>
      <c r="F42" s="60">
        <f>F10</f>
        <v>0</v>
      </c>
      <c r="G42" s="46" t="s">
        <v>3</v>
      </c>
      <c r="K42" s="15">
        <f>K41-0.3</f>
        <v>-0.8</v>
      </c>
      <c r="L42">
        <f>L41+(K42-K41)*TAN(F5/180*PI())</f>
        <v>0.25</v>
      </c>
    </row>
    <row r="43" spans="1:12" x14ac:dyDescent="0.25">
      <c r="A43" s="14" t="s">
        <v>80</v>
      </c>
      <c r="B43" s="24">
        <v>0.5</v>
      </c>
      <c r="C43" s="23" t="str">
        <f>"*φd= "&amp;ROUND(B43*ATAN(TAN(B5/180*PI())/1.2)*180/PI(),1)&amp;"° und c' = 0 kPa)"</f>
        <v>*φd= 12.8° und c' = 0 kPa)</v>
      </c>
      <c r="G43" s="51"/>
    </row>
    <row r="44" spans="1:12" x14ac:dyDescent="0.25">
      <c r="A44" s="41" t="s">
        <v>106</v>
      </c>
      <c r="B44" s="50">
        <f>(B41^2+B42^2)^0.5*SIN((F41-F42)/180*PI())</f>
        <v>450.00000000000006</v>
      </c>
      <c r="C44" s="43" t="s">
        <v>1</v>
      </c>
      <c r="D44" s="44" t="str">
        <f>IF(B44&lt;=F44,"&lt;=","&gt;")</f>
        <v>&lt;=</v>
      </c>
      <c r="E44" s="44" t="s">
        <v>105</v>
      </c>
      <c r="F44" s="42">
        <f>(F26^2+F27^2)^0.5*COS((F41-F42)/180*PI())*TAN(MIN(35/180*PI(),ATAN(TAN(B5/180*PI())/1.2)*B43))+B23</f>
        <v>456.10309970301284</v>
      </c>
      <c r="G44" s="51" t="s">
        <v>1</v>
      </c>
    </row>
    <row r="45" spans="1:12" x14ac:dyDescent="0.25">
      <c r="A45" s="47" t="str">
        <f>IF(B44&lt;&gt;0,IF(F44&gt;B44,"Gleitnachweis erfüllt", "Gleitnachweis NICHT erfüllt"),"Gleitnachweis erfüllt, keine Horizontalkraft. ")</f>
        <v>Gleitnachweis erfüllt</v>
      </c>
      <c r="B45" s="48"/>
      <c r="C45" s="48"/>
      <c r="D45" s="48"/>
      <c r="E45" s="48"/>
      <c r="F45" s="48"/>
      <c r="G45" s="49"/>
    </row>
    <row r="47" spans="1:12" x14ac:dyDescent="0.25">
      <c r="A47" t="s">
        <v>100</v>
      </c>
    </row>
    <row r="48" spans="1:12" ht="18.75" x14ac:dyDescent="0.35">
      <c r="B48" s="21" t="s">
        <v>98</v>
      </c>
      <c r="C48" s="54" t="s">
        <v>95</v>
      </c>
      <c r="D48" s="21" t="s">
        <v>99</v>
      </c>
      <c r="E48" s="44" t="s">
        <v>97</v>
      </c>
      <c r="F48" s="52">
        <f>1/9</f>
        <v>0.1111111111111111</v>
      </c>
    </row>
    <row r="49" spans="1:6" x14ac:dyDescent="0.25">
      <c r="B49" s="56">
        <f>(F15/B9)^2</f>
        <v>0</v>
      </c>
      <c r="C49" s="54" t="s">
        <v>95</v>
      </c>
      <c r="D49" s="56">
        <f>(F16/B10)^2</f>
        <v>0</v>
      </c>
      <c r="E49" s="55" t="str">
        <f>IF(B49+D49&lt;1/100,"&lt;1/100","= 1/"&amp;ROUND(1/(B49+D49),1))&amp;" "&amp;IF(B49+D49&gt;F49,"&gt;","&lt;=")</f>
        <v>&lt;1/100 &lt;=</v>
      </c>
      <c r="F49" s="52">
        <f>F48</f>
        <v>0.1111111111111111</v>
      </c>
    </row>
    <row r="51" spans="1:6" x14ac:dyDescent="0.25">
      <c r="A51" s="61" t="s">
        <v>116</v>
      </c>
    </row>
    <row r="52" spans="1:6" x14ac:dyDescent="0.25">
      <c r="A52" t="s">
        <v>46</v>
      </c>
      <c r="D52" t="s">
        <v>73</v>
      </c>
    </row>
    <row r="53" spans="1:6" x14ac:dyDescent="0.25">
      <c r="A53" t="s">
        <v>48</v>
      </c>
      <c r="C53" s="17">
        <f>1-Grundbruch_Rechteck(0,B5,B6,B17,B16,B9,B10,F17,F15,F16,F5,F10)/Grundbruch_Rechteck(B4,B5,B6,B17,B16,B9,B10,F17,F15,F16,F5,F10)</f>
        <v>0.26591254733418102</v>
      </c>
      <c r="D53" s="15">
        <f>$B$34*C53</f>
        <v>52.741019503434707</v>
      </c>
      <c r="E53" t="s">
        <v>4</v>
      </c>
    </row>
    <row r="54" spans="1:6" x14ac:dyDescent="0.25">
      <c r="A54" t="s">
        <v>47</v>
      </c>
      <c r="C54" s="17">
        <f>1-Grundbruch_Rechteck(B4,B5,B6,0,B16,B9,B10,F17,F15,F16,F5,F10)/Grundbruch_Rechteck(B4,B5,B6,B17,B16,B9,B10,F17,F15,F16,F5,F10)</f>
        <v>0.3955294826690724</v>
      </c>
      <c r="D54" s="15">
        <f>$B$34*C54</f>
        <v>78.449205833889252</v>
      </c>
      <c r="E54" t="s">
        <v>4</v>
      </c>
    </row>
    <row r="55" spans="1:6" x14ac:dyDescent="0.25">
      <c r="A55" t="s">
        <v>66</v>
      </c>
      <c r="C55" s="17">
        <f>1-Grundbruch_Rechteck(B4,B5,0,B17,B16,B9,B10,F17,F15,F16,F5,F10)/Grundbruch_Rechteck(B4,B5,B6,B17,B16,B9,B10,F17,F15,F16,F5,F10)</f>
        <v>0.34000927580884899</v>
      </c>
      <c r="D55" s="15">
        <f>$B$34*C55</f>
        <v>67.437343692725165</v>
      </c>
      <c r="E55" t="s">
        <v>4</v>
      </c>
    </row>
    <row r="56" spans="1:6" x14ac:dyDescent="0.25">
      <c r="A56" t="s">
        <v>72</v>
      </c>
      <c r="C56" s="22">
        <f>SUM(C53:C55)</f>
        <v>1.0014513058121024</v>
      </c>
      <c r="D56" s="15">
        <f>$B$34*C56</f>
        <v>198.62756903004913</v>
      </c>
      <c r="E56" t="s">
        <v>87</v>
      </c>
    </row>
  </sheetData>
  <dataValidations count="2">
    <dataValidation type="list" allowBlank="1" showInputMessage="1" showErrorMessage="1" sqref="B21">
      <formula1>drdwn_EP</formula1>
    </dataValidation>
    <dataValidation type="list" allowBlank="1" showInputMessage="1" showErrorMessage="1" sqref="B25">
      <formula1>drdwn_EG</formula1>
    </dataValidation>
  </dataValidations>
  <pageMargins left="0.7" right="0.7" top="0.96875" bottom="0.78740157499999996" header="0.3" footer="0.3"/>
  <pageSetup paperSize="9" orientation="portrait" r:id="rId1"/>
  <headerFooter>
    <oddHeader>&amp;L&amp;"Arial,Standard"&amp;10[Auftraggeber]
[Projekt]
Projektnummer: [115123123]&amp;R&amp;"Arial,Standard"&amp;10Grundbruchnachweis
Fundament XXX
Beilage 1</oddHeader>
    <oddFooter>&amp;L&amp;"Arial,Standard"&amp;10[Kürzel]&amp;C&amp;"Arial,Standard"&amp;10Pöyry Schweiz AG&amp;R&amp;"Arial,Standard"&amp;10Seite 1/1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I9"/>
  <sheetViews>
    <sheetView workbookViewId="0">
      <selection activeCell="D10" sqref="D10"/>
    </sheetView>
  </sheetViews>
  <sheetFormatPr baseColWidth="10" defaultRowHeight="15" x14ac:dyDescent="0.25"/>
  <cols>
    <col min="1" max="1" width="67.28515625" customWidth="1"/>
  </cols>
  <sheetData>
    <row r="2" spans="2:9" x14ac:dyDescent="0.25">
      <c r="B2" t="s">
        <v>28</v>
      </c>
    </row>
    <row r="6" spans="2:9" x14ac:dyDescent="0.25">
      <c r="C6" t="s">
        <v>29</v>
      </c>
      <c r="D6" t="s">
        <v>30</v>
      </c>
      <c r="E6" t="s">
        <v>31</v>
      </c>
      <c r="F6" t="s">
        <v>35</v>
      </c>
      <c r="G6" t="s">
        <v>32</v>
      </c>
      <c r="H6" t="s">
        <v>33</v>
      </c>
      <c r="I6" t="s">
        <v>34</v>
      </c>
    </row>
    <row r="7" spans="2:9" x14ac:dyDescent="0.25">
      <c r="B7" t="s">
        <v>36</v>
      </c>
      <c r="C7">
        <v>2</v>
      </c>
      <c r="D7">
        <v>35</v>
      </c>
      <c r="E7">
        <v>11</v>
      </c>
      <c r="F7">
        <v>20</v>
      </c>
      <c r="G7">
        <v>0</v>
      </c>
      <c r="H7">
        <v>1</v>
      </c>
      <c r="I7">
        <v>1</v>
      </c>
    </row>
    <row r="9" spans="2:9" x14ac:dyDescent="0.25">
      <c r="B9" t="s">
        <v>37</v>
      </c>
      <c r="C9">
        <f>Grundbruch_Rechteck(C7,D7,E7,F7,G7,H7,I7)</f>
        <v>729.08476615152017</v>
      </c>
      <c r="D9" t="s">
        <v>1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6</vt:i4>
      </vt:variant>
    </vt:vector>
  </HeadingPairs>
  <TitlesOfParts>
    <vt:vector size="9" baseType="lpstr">
      <vt:lpstr>Streifenfundament</vt:lpstr>
      <vt:lpstr>Rechteckfundament</vt:lpstr>
      <vt:lpstr>Eigene Anwendung</vt:lpstr>
      <vt:lpstr>Streifenfundament!drdwn_EG</vt:lpstr>
      <vt:lpstr>drdwn_EG</vt:lpstr>
      <vt:lpstr>Streifenfundament!drdwn_EP</vt:lpstr>
      <vt:lpstr>drdwn_EP</vt:lpstr>
      <vt:lpstr>Rechteckfundament!Druckbereich</vt:lpstr>
      <vt:lpstr>Streifenfundament!Druckbereich</vt:lpstr>
    </vt:vector>
  </TitlesOfParts>
  <Company>Poyry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Minder, Pascal</dc:creator>
  <cp:lastModifiedBy>Minder, Pascal</cp:lastModifiedBy>
  <dcterms:created xsi:type="dcterms:W3CDTF">2018-01-16T08:39:38Z</dcterms:created>
  <dcterms:modified xsi:type="dcterms:W3CDTF">2018-03-01T10:41:07Z</dcterms:modified>
</cp:coreProperties>
</file>