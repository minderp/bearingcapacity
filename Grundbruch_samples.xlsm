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/>
  </bookViews>
  <sheets>
    <sheet name="Overview Tests" sheetId="6" r:id="rId1"/>
    <sheet name="LHAP K17-14" sheetId="5" r:id="rId2"/>
    <sheet name="complex sample cd=10" sheetId="7" r:id="rId3"/>
    <sheet name="complex sample c=0" sheetId="1" r:id="rId4"/>
  </sheets>
  <functionGroups builtInGroupCount="17"/>
  <definedNames>
    <definedName name="drdwn_EG" localSheetId="2">'complex sample cd=10'!$S$4:$S$6</definedName>
    <definedName name="drdwn_EG" localSheetId="1">'LHAP K17-14'!$S$4:$S$6</definedName>
    <definedName name="drdwn_EG">'complex sample c=0'!$S$4:$S$6</definedName>
    <definedName name="drdwn_EP" localSheetId="2">'complex sample cd=10'!$R$4:$R$5</definedName>
    <definedName name="drdwn_EP" localSheetId="1">'LHAP K17-14'!$R$4:$R$5</definedName>
    <definedName name="drdwn_EP">'complex sample c=0'!$R$4:$R$5</definedName>
    <definedName name="_xlnm.Print_Area" localSheetId="3">'complex sample c=0'!$A$1:$G$45</definedName>
    <definedName name="_xlnm.Print_Area" localSheetId="2">'complex sample cd=10'!$A$1:$G$45</definedName>
    <definedName name="_xlnm.Print_Area" localSheetId="1">'LHAP K17-14'!$A$1:$G$45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Sohle)”</x14:argumentDescription>
            <x14:argumentDescription index="3">Auflast neben Fundament auf Niveau Sohle (inkl. Bodengewicht) in kPa,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</x14:argumentDescriptions>
        </x14:definedName>
        <x14:definedName name="Grundbruc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104" i="6" l="1"/>
  <c r="B105" i="6" l="1"/>
  <c r="B104" i="6"/>
  <c r="F102" i="6"/>
  <c r="F101" i="6"/>
  <c r="F100" i="6"/>
  <c r="F98" i="6"/>
  <c r="F97" i="6"/>
  <c r="F96" i="6"/>
  <c r="F94" i="6"/>
  <c r="F93" i="6"/>
  <c r="F92" i="6"/>
  <c r="F90" i="6"/>
  <c r="F89" i="6"/>
  <c r="F88" i="6"/>
  <c r="F86" i="6"/>
  <c r="F85" i="6"/>
  <c r="F84" i="6"/>
  <c r="F82" i="6"/>
  <c r="F81" i="6"/>
  <c r="F80" i="6"/>
  <c r="B78" i="6"/>
  <c r="B77" i="6"/>
  <c r="B106" i="6" s="1"/>
  <c r="E73" i="6"/>
  <c r="B71" i="6"/>
  <c r="F48" i="6"/>
  <c r="F40" i="6"/>
  <c r="F41" i="6"/>
  <c r="F42" i="6"/>
  <c r="F44" i="6"/>
  <c r="F45" i="6"/>
  <c r="F46" i="6"/>
  <c r="F49" i="6"/>
  <c r="F50" i="6"/>
  <c r="F52" i="6"/>
  <c r="F53" i="6"/>
  <c r="F54" i="6"/>
  <c r="F56" i="6"/>
  <c r="F57" i="6"/>
  <c r="F58" i="6"/>
  <c r="F37" i="6"/>
  <c r="F38" i="6"/>
  <c r="F36" i="6"/>
  <c r="H60" i="6" s="1"/>
  <c r="B60" i="6"/>
  <c r="B61" i="6"/>
  <c r="B6" i="6"/>
  <c r="E8" i="6"/>
  <c r="F21" i="1"/>
  <c r="B5" i="1"/>
  <c r="B27" i="6"/>
  <c r="E29" i="6"/>
  <c r="F22" i="7"/>
  <c r="B34" i="6"/>
  <c r="B33" i="6"/>
  <c r="B62" i="6" s="1"/>
  <c r="F24" i="7"/>
  <c r="F23" i="7"/>
  <c r="F21" i="7"/>
  <c r="B5" i="7"/>
  <c r="C43" i="7" s="1"/>
  <c r="F48" i="7"/>
  <c r="F49" i="7" s="1"/>
  <c r="F42" i="7"/>
  <c r="B40" i="7"/>
  <c r="L35" i="7"/>
  <c r="L32" i="7"/>
  <c r="L31" i="7"/>
  <c r="L30" i="7"/>
  <c r="L29" i="7"/>
  <c r="K29" i="7"/>
  <c r="K30" i="7" s="1"/>
  <c r="K28" i="7"/>
  <c r="B26" i="7"/>
  <c r="N21" i="7"/>
  <c r="M4" i="7"/>
  <c r="D20" i="6"/>
  <c r="F20" i="6" s="1"/>
  <c r="D19" i="6"/>
  <c r="F19" i="6" s="1"/>
  <c r="B43" i="5"/>
  <c r="B5" i="5"/>
  <c r="C43" i="5"/>
  <c r="F23" i="5"/>
  <c r="F22" i="5"/>
  <c r="B42" i="5" s="1"/>
  <c r="B15" i="5"/>
  <c r="B17" i="5" s="1"/>
  <c r="F42" i="5"/>
  <c r="B40" i="1"/>
  <c r="F42" i="1"/>
  <c r="F48" i="5"/>
  <c r="F49" i="5" s="1"/>
  <c r="B26" i="5"/>
  <c r="F26" i="5" s="1"/>
  <c r="B41" i="5" s="1"/>
  <c r="B23" i="5"/>
  <c r="L41" i="5"/>
  <c r="L35" i="5"/>
  <c r="L32" i="5"/>
  <c r="L30" i="5"/>
  <c r="L31" i="5" s="1"/>
  <c r="L29" i="5"/>
  <c r="K29" i="5"/>
  <c r="K30" i="5" s="1"/>
  <c r="K28" i="5"/>
  <c r="K32" i="5" s="1"/>
  <c r="N21" i="5"/>
  <c r="M4" i="5"/>
  <c r="B31" i="7"/>
  <c r="M20" i="5"/>
  <c r="M18" i="5"/>
  <c r="M14" i="5"/>
  <c r="M12" i="5"/>
  <c r="M8" i="5"/>
  <c r="K16" i="5"/>
  <c r="K10" i="5"/>
  <c r="M17" i="5"/>
  <c r="M13" i="5"/>
  <c r="M9" i="5"/>
  <c r="M7" i="5"/>
  <c r="K19" i="5"/>
  <c r="K17" i="5"/>
  <c r="K15" i="5"/>
  <c r="K13" i="5"/>
  <c r="K11" i="5"/>
  <c r="K9" i="5"/>
  <c r="K7" i="5"/>
  <c r="M16" i="5"/>
  <c r="M10" i="5"/>
  <c r="K20" i="5"/>
  <c r="K18" i="5"/>
  <c r="K14" i="5"/>
  <c r="K12" i="5"/>
  <c r="K8" i="5"/>
  <c r="M19" i="5"/>
  <c r="M15" i="5"/>
  <c r="M11" i="5"/>
  <c r="M20" i="7"/>
  <c r="M18" i="7"/>
  <c r="M16" i="7"/>
  <c r="M14" i="7"/>
  <c r="M12" i="7"/>
  <c r="M10" i="7"/>
  <c r="M8" i="7"/>
  <c r="K15" i="7"/>
  <c r="K9" i="7"/>
  <c r="K20" i="7"/>
  <c r="K18" i="7"/>
  <c r="K16" i="7"/>
  <c r="K14" i="7"/>
  <c r="K12" i="7"/>
  <c r="K10" i="7"/>
  <c r="K8" i="7"/>
  <c r="M19" i="7"/>
  <c r="M17" i="7"/>
  <c r="M15" i="7"/>
  <c r="M13" i="7"/>
  <c r="M11" i="7"/>
  <c r="M9" i="7"/>
  <c r="M7" i="7"/>
  <c r="K19" i="7"/>
  <c r="K17" i="7"/>
  <c r="K13" i="7"/>
  <c r="K11" i="7"/>
  <c r="K7" i="7"/>
  <c r="M20" i="1"/>
  <c r="M18" i="1"/>
  <c r="M16" i="1"/>
  <c r="M14" i="1"/>
  <c r="M12" i="1"/>
  <c r="M10" i="1"/>
  <c r="M8" i="1"/>
  <c r="M9" i="1"/>
  <c r="K19" i="1"/>
  <c r="K15" i="1"/>
  <c r="K11" i="1"/>
  <c r="K7" i="1"/>
  <c r="K20" i="1"/>
  <c r="K18" i="1"/>
  <c r="K16" i="1"/>
  <c r="K14" i="1"/>
  <c r="K12" i="1"/>
  <c r="K10" i="1"/>
  <c r="K8" i="1"/>
  <c r="M19" i="1"/>
  <c r="M17" i="1"/>
  <c r="M15" i="1"/>
  <c r="M13" i="1"/>
  <c r="M11" i="1"/>
  <c r="M7" i="1"/>
  <c r="K17" i="1"/>
  <c r="K13" i="1"/>
  <c r="K9" i="1"/>
  <c r="C55" i="1"/>
  <c r="B31" i="1"/>
  <c r="C54" i="1"/>
  <c r="C53" i="1"/>
  <c r="E31" i="1"/>
  <c r="C55" i="7"/>
  <c r="C54" i="7"/>
  <c r="C53" i="7"/>
  <c r="E31" i="7"/>
  <c r="C55" i="5"/>
  <c r="C53" i="5"/>
  <c r="E31" i="5"/>
  <c r="C54" i="5"/>
  <c r="B31" i="5"/>
  <c r="B63" i="6" l="1"/>
  <c r="B64" i="6" s="1"/>
  <c r="H62" i="6"/>
  <c r="H61" i="6"/>
  <c r="H105" i="6"/>
  <c r="H106" i="6"/>
  <c r="D108" i="6"/>
  <c r="B107" i="6"/>
  <c r="D64" i="6"/>
  <c r="F64" i="6" s="1"/>
  <c r="F26" i="7"/>
  <c r="B38" i="7" s="1"/>
  <c r="B22" i="7"/>
  <c r="K41" i="7"/>
  <c r="K42" i="7" s="1"/>
  <c r="K32" i="7"/>
  <c r="K31" i="7"/>
  <c r="F16" i="7"/>
  <c r="B22" i="5"/>
  <c r="F27" i="5"/>
  <c r="F17" i="5" s="1"/>
  <c r="F41" i="5"/>
  <c r="B44" i="5" s="1"/>
  <c r="B38" i="5"/>
  <c r="F15" i="5"/>
  <c r="K41" i="5"/>
  <c r="K42" i="5" s="1"/>
  <c r="L42" i="5" s="1"/>
  <c r="K31" i="5"/>
  <c r="F48" i="1"/>
  <c r="F49" i="1" s="1"/>
  <c r="B22" i="1"/>
  <c r="B23" i="1" s="1"/>
  <c r="C43" i="1"/>
  <c r="B26" i="1"/>
  <c r="B108" i="6" l="1"/>
  <c r="F108" i="6" s="1"/>
  <c r="F15" i="7"/>
  <c r="B16" i="7" s="1"/>
  <c r="B17" i="7" s="1"/>
  <c r="B41" i="7"/>
  <c r="D49" i="7"/>
  <c r="F44" i="5"/>
  <c r="E34" i="5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F22" i="1" l="1"/>
  <c r="F27" i="1" s="1"/>
  <c r="F23" i="1"/>
  <c r="F15" i="1" s="1"/>
  <c r="F24" i="1"/>
  <c r="L34" i="7"/>
  <c r="B49" i="7"/>
  <c r="L41" i="7"/>
  <c r="L42" i="7" s="1"/>
  <c r="L38" i="7"/>
  <c r="K34" i="7"/>
  <c r="K35" i="7" s="1"/>
  <c r="B23" i="7"/>
  <c r="F27" i="7" s="1"/>
  <c r="F17" i="7" s="1"/>
  <c r="E35" i="7"/>
  <c r="K38" i="7"/>
  <c r="E49" i="7"/>
  <c r="A2" i="5"/>
  <c r="D14" i="6"/>
  <c r="F14" i="6" s="1"/>
  <c r="B41" i="1"/>
  <c r="A39" i="5"/>
  <c r="D38" i="5"/>
  <c r="D44" i="5"/>
  <c r="A45" i="5"/>
  <c r="D55" i="5"/>
  <c r="D17" i="6" s="1"/>
  <c r="F17" i="6" s="1"/>
  <c r="D53" i="5"/>
  <c r="D56" i="5"/>
  <c r="D54" i="5"/>
  <c r="D16" i="6" s="1"/>
  <c r="F16" i="6" s="1"/>
  <c r="F16" i="1"/>
  <c r="B38" i="1"/>
  <c r="L30" i="1"/>
  <c r="L35" i="1"/>
  <c r="L41" i="1"/>
  <c r="F18" i="1" l="1"/>
  <c r="F17" i="1"/>
  <c r="F18" i="7"/>
  <c r="B42" i="7"/>
  <c r="F41" i="7" s="1"/>
  <c r="B44" i="7"/>
  <c r="L39" i="7"/>
  <c r="K39" i="7"/>
  <c r="B42" i="1"/>
  <c r="F41" i="1"/>
  <c r="F44" i="1" s="1"/>
  <c r="D49" i="1"/>
  <c r="B49" i="1"/>
  <c r="E35" i="1"/>
  <c r="L38" i="1"/>
  <c r="K38" i="1"/>
  <c r="L34" i="1"/>
  <c r="K34" i="1"/>
  <c r="K35" i="1" s="1"/>
  <c r="L32" i="1"/>
  <c r="L29" i="1"/>
  <c r="K29" i="1"/>
  <c r="K30" i="1" s="1"/>
  <c r="K28" i="1"/>
  <c r="K32" i="1" s="1"/>
  <c r="M4" i="1"/>
  <c r="B17" i="1"/>
  <c r="L39" i="1" l="1"/>
  <c r="K39" i="1"/>
  <c r="L20" i="7"/>
  <c r="L19" i="7"/>
  <c r="L18" i="7"/>
  <c r="N14" i="7"/>
  <c r="N13" i="7"/>
  <c r="N12" i="7"/>
  <c r="N11" i="7"/>
  <c r="N10" i="7"/>
  <c r="N9" i="7"/>
  <c r="N8" i="7"/>
  <c r="N7" i="7"/>
  <c r="L17" i="7"/>
  <c r="N16" i="7"/>
  <c r="L15" i="7"/>
  <c r="N20" i="7"/>
  <c r="N19" i="7"/>
  <c r="N18" i="7"/>
  <c r="L14" i="7"/>
  <c r="L13" i="7"/>
  <c r="L12" i="7"/>
  <c r="L11" i="7"/>
  <c r="L10" i="7"/>
  <c r="L9" i="7"/>
  <c r="L8" i="7"/>
  <c r="L7" i="7"/>
  <c r="L16" i="7"/>
  <c r="N17" i="7"/>
  <c r="N15" i="7"/>
  <c r="C56" i="7"/>
  <c r="E34" i="7"/>
  <c r="E32" i="7"/>
  <c r="B28" i="7"/>
  <c r="B34" i="7"/>
  <c r="D56" i="7" s="1"/>
  <c r="B32" i="7"/>
  <c r="F38" i="7" s="1"/>
  <c r="D38" i="7" s="1"/>
  <c r="F44" i="7"/>
  <c r="A45" i="7"/>
  <c r="D44" i="7"/>
  <c r="B44" i="1"/>
  <c r="A45" i="1" s="1"/>
  <c r="E49" i="1"/>
  <c r="B28" i="1"/>
  <c r="C56" i="1"/>
  <c r="L31" i="1"/>
  <c r="K41" i="1"/>
  <c r="K42" i="1" s="1"/>
  <c r="L42" i="1" s="1"/>
  <c r="K31" i="1"/>
  <c r="N8" i="1"/>
  <c r="A2" i="7" l="1"/>
  <c r="D107" i="6"/>
  <c r="F107" i="6" s="1"/>
  <c r="D55" i="7"/>
  <c r="D106" i="6" s="1"/>
  <c r="F106" i="6" s="1"/>
  <c r="D54" i="7"/>
  <c r="D105" i="6" s="1"/>
  <c r="F105" i="6" s="1"/>
  <c r="A39" i="7"/>
  <c r="D53" i="7"/>
  <c r="D104" i="6" s="1"/>
  <c r="F104" i="6" s="1"/>
  <c r="D44" i="1"/>
  <c r="N21" i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A2" i="1" l="1"/>
  <c r="D63" i="6"/>
  <c r="F63" i="6" s="1"/>
  <c r="D54" i="1"/>
  <c r="D61" i="6" s="1"/>
  <c r="F61" i="6" s="1"/>
  <c r="D55" i="1"/>
  <c r="D62" i="6" s="1"/>
  <c r="F62" i="6" s="1"/>
  <c r="D53" i="1"/>
  <c r="D60" i="6" s="1"/>
  <c r="D56" i="1"/>
  <c r="B32" i="1"/>
  <c r="F38" i="1" s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3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t*gamma' verwenden
Fall 2: Grundwasser höchstens zur Fundamentsohle oder kein GW
         t*gamma verwenden
Fall 3: Grundwasser zwischen Sohle und Oberfläche
        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<sst xmlns="http://schemas.openxmlformats.org/spreadsheetml/2006/main" count="694" uniqueCount="188">
  <si>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</si>
  <si>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</si>
  <si>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</si>
  <si>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</si>
  <si>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</si>
  <si>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</si>
  <si>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</si>
  <si>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</si>
  <si>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</si>
  <si>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</si>
  <si>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</si>
  <si>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</si>
  <si>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</si>
  <si>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</si>
  <si>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</si>
  <si>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</si>
  <si>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</si>
  <si>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</si>
  <si>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</si>
  <si>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</si>
  <si>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</si>
  <si>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</si>
  <si>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</si>
  <si>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</si>
  <si>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</si>
  <si>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</si>
  <si>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</si>
  <si>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</si>
  <si>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</si>
  <si>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c</t>
  </si>
  <si>
    <t>gamma</t>
  </si>
  <si>
    <t>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</si>
  <si>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</si>
  <si>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</si>
  <si>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</si>
  <si>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</si>
  <si>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</si>
  <si>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</si>
  <si>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</si>
  <si>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</si>
  <si>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</si>
  <si>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</si>
  <si>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</si>
  <si>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</si>
  <si>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</si>
  <si>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</si>
  <si>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</si>
  <si>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</si>
  <si>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</si>
  <si>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</si>
  <si>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</si>
  <si>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</si>
  <si>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</si>
  <si>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Exzentrizität ea</t>
  </si>
  <si>
    <t>Exzentrizität eb</t>
  </si>
  <si>
    <r>
      <t xml:space="preserve">Lastneigung </t>
    </r>
    <r>
      <rPr>
        <sz val="11"/>
        <color theme="1"/>
        <rFont val="Calibri"/>
        <family val="2"/>
      </rPr>
      <t>ωb</t>
    </r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</si>
  <si>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</si>
  <si>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</si>
  <si>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</si>
  <si>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</si>
  <si>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</si>
  <si>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</si>
  <si>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</si>
  <si>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</si>
  <si>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</si>
  <si>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</si>
  <si>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</si>
  <si>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</si>
  <si>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</si>
  <si>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</si>
  <si>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</si>
  <si>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</si>
  <si>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</si>
  <si>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</si>
  <si>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</si>
  <si>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</si>
  <si>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</si>
  <si>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</si>
  <si>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</si>
  <si>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</si>
  <si>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</si>
  <si>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</si>
  <si>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</si>
  <si>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</si>
  <si>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</si>
  <si>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</si>
  <si>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</si>
  <si>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</si>
  <si>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</si>
  <si>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</si>
  <si>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Beschriftungen</t>
  </si>
  <si>
    <t>Kopfzeile</t>
  </si>
  <si>
    <t>Auftraggeber</t>
  </si>
  <si>
    <t>Projekt</t>
  </si>
  <si>
    <t>Projektnummer</t>
  </si>
  <si>
    <t>links</t>
  </si>
  <si>
    <t>rechts</t>
  </si>
  <si>
    <t>Task/Bereich</t>
  </si>
  <si>
    <t>Thema</t>
  </si>
  <si>
    <t>Beilage/Anhang</t>
  </si>
  <si>
    <t>Fusszeile</t>
  </si>
  <si>
    <t>mitte</t>
  </si>
  <si>
    <t>Pöyry Schweiz AG</t>
  </si>
  <si>
    <t>Kürzel</t>
  </si>
  <si>
    <t>Seite 1/1</t>
  </si>
  <si>
    <t>Kopf und Fusszeile anpassen!</t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</si>
  <si>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</si>
  <si>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</si>
  <si>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</si>
  <si>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</si>
  <si>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</si>
  <si>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</si>
  <si>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</si>
  <si>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</si>
  <si>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Version 0.1.1, 2018-02-01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</si>
  <si>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</si>
  <si>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</si>
  <si>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</si>
  <si>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</si>
  <si>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</si>
  <si>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</si>
  <si>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</si>
  <si>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</si>
  <si>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</si>
  <si>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</si>
  <si>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</si>
  <si>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Einfaches Beispiel aus LHAP Kapitel 17-14</t>
  </si>
  <si>
    <t>Sollwert</t>
  </si>
  <si>
    <t>sigmaf</t>
  </si>
  <si>
    <t>Aufteilung</t>
  </si>
  <si>
    <t>IstWert</t>
  </si>
  <si>
    <t>Abweichung</t>
  </si>
  <si>
    <t>Gleiten</t>
  </si>
  <si>
    <t>Eigenes Beispiel von Hand nachgerechnet mit Tabellen aus Kap 9.2</t>
  </si>
  <si>
    <t>a</t>
  </si>
  <si>
    <t>b</t>
  </si>
  <si>
    <t>eb</t>
  </si>
  <si>
    <t>ea</t>
  </si>
  <si>
    <t>b'</t>
  </si>
  <si>
    <t>a'</t>
  </si>
  <si>
    <t>Nc</t>
  </si>
  <si>
    <t>Nq</t>
  </si>
  <si>
    <t>Ny</t>
  </si>
  <si>
    <t>sc</t>
  </si>
  <si>
    <t>sq</t>
  </si>
  <si>
    <t>sgamma</t>
  </si>
  <si>
    <t>dc</t>
  </si>
  <si>
    <t>dq</t>
  </si>
  <si>
    <t>dgamma</t>
  </si>
  <si>
    <t>ic</t>
  </si>
  <si>
    <t>iq</t>
  </si>
  <si>
    <t>igamma</t>
  </si>
  <si>
    <t>gc</t>
  </si>
  <si>
    <t>gq</t>
  </si>
  <si>
    <t>ggamma</t>
  </si>
  <si>
    <t>fc</t>
  </si>
  <si>
    <t>fq</t>
  </si>
  <si>
    <t>fgamma</t>
  </si>
  <si>
    <t>alpha</t>
  </si>
  <si>
    <t>beta</t>
  </si>
  <si>
    <t>deltaR</t>
  </si>
  <si>
    <t>Tiefenfaktoren t/b=0.4, phi =30</t>
  </si>
  <si>
    <t>Formfaktoren b'/a'=2/4=1/2</t>
  </si>
  <si>
    <t>Tragfähigkeit phid=30°</t>
  </si>
  <si>
    <t>Lastneigung (dR=5°)</t>
  </si>
  <si>
    <t>Geländeneigung (beta=5°)</t>
  </si>
  <si>
    <t>Fundamentneigung (alpha=10°)</t>
  </si>
  <si>
    <t>phid</t>
  </si>
  <si>
    <t>phik</t>
  </si>
  <si>
    <t>kPa/m</t>
  </si>
  <si>
    <t>Abgeleitete Grössen</t>
  </si>
  <si>
    <t>Rechteckfundament ohne Grundwasser</t>
  </si>
  <si>
    <t>Streifen ohne Grundwasser</t>
  </si>
  <si>
    <t>q</t>
  </si>
  <si>
    <t>Soll</t>
  </si>
  <si>
    <t>Anteil q</t>
  </si>
  <si>
    <t>Anteil gamma</t>
  </si>
  <si>
    <t>Anteil c</t>
  </si>
  <si>
    <t>Sohlpressung</t>
  </si>
  <si>
    <t>Ist (von Hand aus debugmode eintragen)</t>
  </si>
  <si>
    <t>Ist (wird aus dem Sheet übernommen)</t>
  </si>
  <si>
    <t>erkärbar durch Faktoren</t>
  </si>
  <si>
    <t>FR=</t>
  </si>
  <si>
    <t>cd</t>
  </si>
  <si>
    <t>LHAP K17-14</t>
  </si>
  <si>
    <t>complex Sample c=0</t>
  </si>
  <si>
    <t>complex Sample cd=10</t>
  </si>
  <si>
    <t>Version 0.2.0, 2018-03-01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</si>
</sst>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#\ ?/1000"/>
    <numFmt numFmtId="167" formatCode="0.0%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78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0" fontId="0" fillId="8" borderId="0" xfId="0" applyFill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64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  <xf numFmtId="2" fontId="1" fillId="11" borderId="1" xfId="1" applyNumberFormat="1" applyFill="1" applyAlignment="1">
      <alignment horizontal="right"/>
    </xf>
    <xf numFmtId="2" fontId="1" fillId="2" borderId="1" xfId="1" applyNumberFormat="1"/>
    <xf numFmtId="167" fontId="0" fillId="0" borderId="0" xfId="3" applyNumberFormat="1" applyFont="1"/>
    <xf numFmtId="164" fontId="1" fillId="11" borderId="1" xfId="1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164" fontId="0" fillId="6" borderId="0" xfId="0" applyNumberFormat="1" applyFill="1"/>
    <xf numFmtId="1" fontId="0" fillId="6" borderId="0" xfId="0" applyNumberFormat="1" applyFill="1"/>
    <xf numFmtId="164" fontId="0" fillId="12" borderId="0" xfId="0" applyNumberFormat="1" applyFill="1"/>
    <xf numFmtId="1" fontId="0" fillId="12" borderId="0" xfId="0" applyNumberFormat="1" applyFill="1"/>
    <xf numFmtId="164" fontId="0" fillId="4" borderId="0" xfId="0" applyNumberFormat="1" applyFill="1"/>
    <xf numFmtId="2" fontId="0" fillId="4" borderId="0" xfId="0" applyNumberFormat="1" applyFill="1"/>
    <xf numFmtId="165" fontId="0" fillId="4" borderId="0" xfId="0" applyNumberFormat="1" applyFill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'LHAP K17-14'!$K$4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'LHAP K17-14'!$K$7:$K$20</c:f>
              <c:numCache>
                <c:formatCode>0</c:formatCode>
                <c:ptCount val="14"/>
                <c:pt idx="0">
                  <c:v>526.86168296068615</c:v>
                </c:pt>
                <c:pt idx="1">
                  <c:v>462.21111732511088</c:v>
                </c:pt>
                <c:pt idx="2">
                  <c:v>404.03407041909543</c:v>
                </c:pt>
                <c:pt idx="3">
                  <c:v>351.66230913449562</c:v>
                </c:pt>
                <c:pt idx="4">
                  <c:v>304.52717115727052</c:v>
                </c:pt>
                <c:pt idx="5">
                  <c:v>262.14315227700996</c:v>
                </c:pt>
                <c:pt idx="6">
                  <c:v>224.09438172446065</c:v>
                </c:pt>
                <c:pt idx="7">
                  <c:v>190.02332759660439</c:v>
                </c:pt>
                <c:pt idx="8">
                  <c:v>159.62120433263641</c:v>
                </c:pt>
                <c:pt idx="9">
                  <c:v>132.61964860322502</c:v>
                </c:pt>
                <c:pt idx="10">
                  <c:v>108.78329833148406</c:v>
                </c:pt>
                <c:pt idx="11">
                  <c:v>69.789088663232761</c:v>
                </c:pt>
                <c:pt idx="12">
                  <c:v>41.162077053639827</c:v>
                </c:pt>
                <c:pt idx="13">
                  <c:v>21.531211985664157</c:v>
                </c:pt>
              </c:numCache>
            </c:numRef>
          </c:xVal>
          <c:yVal>
            <c:numRef>
              <c:f>'LHAP K17-14'!$L$7:$L$20</c:f>
              <c:numCache>
                <c:formatCode>0</c:formatCode>
                <c:ptCount val="14"/>
                <c:pt idx="0">
                  <c:v>0</c:v>
                </c:pt>
                <c:pt idx="1">
                  <c:v>20.180573205211235</c:v>
                </c:pt>
                <c:pt idx="2">
                  <c:v>35.348400839905729</c:v>
                </c:pt>
                <c:pt idx="3">
                  <c:v>46.297221304907232</c:v>
                </c:pt>
                <c:pt idx="4">
                  <c:v>53.696356633851451</c:v>
                </c:pt>
                <c:pt idx="5">
                  <c:v>58.115737708208542</c:v>
                </c:pt>
                <c:pt idx="6">
                  <c:v>60.04590861142097</c:v>
                </c:pt>
                <c:pt idx="7">
                  <c:v>59.914125049963687</c:v>
                </c:pt>
                <c:pt idx="8">
                  <c:v>58.097367134803029</c:v>
                </c:pt>
                <c:pt idx="9">
                  <c:v>54.932857088609893</c:v>
                </c:pt>
                <c:pt idx="10">
                  <c:v>50.7264850913309</c:v>
                </c:pt>
                <c:pt idx="11">
                  <c:v>40.292749126216094</c:v>
                </c:pt>
                <c:pt idx="12">
                  <c:v>28.821996641327523</c:v>
                </c:pt>
                <c:pt idx="13">
                  <c:v>18.066832035970624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'LHAP K17-14'!$M$4:$N$4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'LHAP K17-14'!$M$7:$M$21</c:f>
              <c:numCache>
                <c:formatCode>0</c:formatCode>
                <c:ptCount val="15"/>
                <c:pt idx="0">
                  <c:v>574.16806025986625</c:v>
                </c:pt>
                <c:pt idx="1">
                  <c:v>502.61105259457361</c:v>
                </c:pt>
                <c:pt idx="2">
                  <c:v>438.33328537153386</c:v>
                </c:pt>
                <c:pt idx="3">
                  <c:v>380.57905132954085</c:v>
                </c:pt>
                <c:pt idx="4">
                  <c:v>328.70513505033523</c:v>
                </c:pt>
                <c:pt idx="5">
                  <c:v>282.1621410235793</c:v>
                </c:pt>
                <c:pt idx="6">
                  <c:v>240.47909896743269</c:v>
                </c:pt>
                <c:pt idx="7">
                  <c:v>203.25059692143643</c:v>
                </c:pt>
                <c:pt idx="8">
                  <c:v>170.1258411404088</c:v>
                </c:pt>
                <c:pt idx="9">
                  <c:v>140.79915013597429</c:v>
                </c:pt>
                <c:pt idx="10">
                  <c:v>115.00146934215391</c:v>
                </c:pt>
                <c:pt idx="11">
                  <c:v>73.053503212039814</c:v>
                </c:pt>
                <c:pt idx="12">
                  <c:v>42.572015547264357</c:v>
                </c:pt>
                <c:pt idx="13">
                  <c:v>21.951536006660344</c:v>
                </c:pt>
              </c:numCache>
            </c:numRef>
          </c:xVal>
          <c:yVal>
            <c:numRef>
              <c:f>'LHAP K17-14'!$N$7:$N$21</c:f>
              <c:numCache>
                <c:formatCode>0</c:formatCode>
                <c:ptCount val="15"/>
                <c:pt idx="0">
                  <c:v>0</c:v>
                </c:pt>
                <c:pt idx="1">
                  <c:v>21.944472472518829</c:v>
                </c:pt>
                <c:pt idx="2">
                  <c:v>38.349193316082953</c:v>
                </c:pt>
                <c:pt idx="3">
                  <c:v>50.104182636975771</c:v>
                </c:pt>
                <c:pt idx="4">
                  <c:v>57.959584006793833</c:v>
                </c:pt>
                <c:pt idx="5">
                  <c:v>62.553840664832038</c:v>
                </c:pt>
                <c:pt idx="6">
                  <c:v>64.436180364887619</c:v>
                </c:pt>
                <c:pt idx="7">
                  <c:v>64.084667048259362</c:v>
                </c:pt>
                <c:pt idx="8">
                  <c:v>61.920742254609316</c:v>
                </c:pt>
                <c:pt idx="9">
                  <c:v>58.320917556926155</c:v>
                </c:pt>
                <c:pt idx="10">
                  <c:v>53.626065853323652</c:v>
                </c:pt>
                <c:pt idx="11">
                  <c:v>42.177459744716373</c:v>
                </c:pt>
                <c:pt idx="12">
                  <c:v>29.809246202975462</c:v>
                </c:pt>
                <c:pt idx="13">
                  <c:v>18.419525766963474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'LHAP K17-14'!$D$25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'LHAP K17-14'!$F$26</c:f>
              <c:numCache>
                <c:formatCode>0.0</c:formatCode>
                <c:ptCount val="1"/>
                <c:pt idx="0">
                  <c:v>47.1</c:v>
                </c:pt>
              </c:numCache>
            </c:numRef>
          </c:xVal>
          <c:yVal>
            <c:numRef>
              <c:f>'LHAP K17-14'!$F$27</c:f>
              <c:numCache>
                <c:formatCode>0.0</c:formatCode>
                <c:ptCount val="1"/>
                <c:pt idx="0">
                  <c:v>13.505707669239854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'LHAP K17-14'!$A$28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'LHAP K17-14'!$B$31</c:f>
              <c:numCache>
                <c:formatCode>0</c:formatCode>
                <c:ptCount val="1"/>
                <c:pt idx="0">
                  <c:v>210.00692348671302</c:v>
                </c:pt>
              </c:numCache>
            </c:numRef>
          </c:xVal>
          <c:yVal>
            <c:numRef>
              <c:f>'LHAP K17-14'!$B$32</c:f>
              <c:numCache>
                <c:formatCode>0</c:formatCode>
                <c:ptCount val="1"/>
                <c:pt idx="0">
                  <c:v>60.218516287217987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38016"/>
        <c:axId val="104465152"/>
      </c:scatterChart>
      <c:valAx>
        <c:axId val="104438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4465152"/>
        <c:crosses val="autoZero"/>
        <c:crossBetween val="midCat"/>
      </c:valAx>
      <c:valAx>
        <c:axId val="104465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44380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'LHAP K17-14'!$J$26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'LHAP K17-14'!$K$28:$K$35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0.18</c:v>
                </c:pt>
                <c:pt idx="7" formatCode="General">
                  <c:v>0.18</c:v>
                </c:pt>
              </c:numCache>
            </c:numRef>
          </c:xVal>
          <c:yVal>
            <c:numRef>
              <c:f>'LHAP K17-14'!$L$28:$L$35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0.85</c:v>
                </c:pt>
                <c:pt idx="3">
                  <c:v>0.85</c:v>
                </c:pt>
                <c:pt idx="4">
                  <c:v>0</c:v>
                </c:pt>
                <c:pt idx="6">
                  <c:v>0</c:v>
                </c:pt>
                <c:pt idx="7">
                  <c:v>0.85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'LHAP K17-14'!$J$37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'LHAP K17-14'!$K$38:$K$39</c:f>
              <c:numCache>
                <c:formatCode>General</c:formatCode>
                <c:ptCount val="2"/>
                <c:pt idx="0">
                  <c:v>-0.16000000000000003</c:v>
                </c:pt>
                <c:pt idx="1">
                  <c:v>0.11563735581699913</c:v>
                </c:pt>
              </c:numCache>
            </c:numRef>
          </c:xVal>
          <c:yVal>
            <c:numRef>
              <c:f>'LHAP K17-14'!$L$38:$L$39</c:f>
              <c:numCache>
                <c:formatCode>General</c:formatCode>
                <c:ptCount val="2"/>
                <c:pt idx="0">
                  <c:v>0</c:v>
                </c:pt>
                <c:pt idx="1">
                  <c:v>0.96126169593831889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'LHAP K17-14'!$J$41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'LHAP K17-14'!$K$41:$K$42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'LHAP K17-14'!$L$41:$L$42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83456"/>
        <c:axId val="104485632"/>
      </c:scatterChart>
      <c:valAx>
        <c:axId val="10448345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104485632"/>
        <c:crossesAt val="0"/>
        <c:crossBetween val="midCat"/>
        <c:majorUnit val="0.2"/>
      </c:valAx>
      <c:valAx>
        <c:axId val="104485632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448345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'complex sample cd=10'!$K$4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'complex sample cd=10'!$K$7:$K$20</c:f>
              <c:numCache>
                <c:formatCode>0</c:formatCode>
                <c:ptCount val="14"/>
                <c:pt idx="0">
                  <c:v>10859.479515252271</c:v>
                </c:pt>
                <c:pt idx="1">
                  <c:v>9706.652904722725</c:v>
                </c:pt>
                <c:pt idx="2">
                  <c:v>8667.4286459022878</c:v>
                </c:pt>
                <c:pt idx="3">
                  <c:v>7728.3349688366379</c:v>
                </c:pt>
                <c:pt idx="4">
                  <c:v>6878.0629259710131</c:v>
                </c:pt>
                <c:pt idx="5">
                  <c:v>6107.0915489089166</c:v>
                </c:pt>
                <c:pt idx="6">
                  <c:v>5407.4511645769835</c:v>
                </c:pt>
                <c:pt idx="7">
                  <c:v>4772.4200402850338</c:v>
                </c:pt>
                <c:pt idx="8">
                  <c:v>4196.2949084208103</c:v>
                </c:pt>
                <c:pt idx="9">
                  <c:v>3674.3710283410355</c:v>
                </c:pt>
                <c:pt idx="10">
                  <c:v>3202.5465956406001</c:v>
                </c:pt>
                <c:pt idx="11">
                  <c:v>2396.4458875257233</c:v>
                </c:pt>
                <c:pt idx="12">
                  <c:v>1756.6021082998536</c:v>
                </c:pt>
                <c:pt idx="13">
                  <c:v>1265.8173426420094</c:v>
                </c:pt>
              </c:numCache>
            </c:numRef>
          </c:xVal>
          <c:yVal>
            <c:numRef>
              <c:f>'complex sample cd=10'!$L$7:$L$20</c:f>
              <c:numCache>
                <c:formatCode>0</c:formatCode>
                <c:ptCount val="14"/>
                <c:pt idx="0">
                  <c:v>0</c:v>
                </c:pt>
                <c:pt idx="1">
                  <c:v>423.80161830584166</c:v>
                </c:pt>
                <c:pt idx="2">
                  <c:v>758.30174843630039</c:v>
                </c:pt>
                <c:pt idx="3">
                  <c:v>1017.4546008393523</c:v>
                </c:pt>
                <c:pt idx="4">
                  <c:v>1212.7880688592991</c:v>
                </c:pt>
                <c:pt idx="5">
                  <c:v>1353.9096006649115</c:v>
                </c:pt>
                <c:pt idx="6">
                  <c:v>1448.9221726591368</c:v>
                </c:pt>
                <c:pt idx="7">
                  <c:v>1504.7382587236607</c:v>
                </c:pt>
                <c:pt idx="8">
                  <c:v>1527.3264408679945</c:v>
                </c:pt>
                <c:pt idx="9">
                  <c:v>1521.9743131296329</c:v>
                </c:pt>
                <c:pt idx="10">
                  <c:v>1493.3720031454313</c:v>
                </c:pt>
                <c:pt idx="11">
                  <c:v>1383.5886782613479</c:v>
                </c:pt>
                <c:pt idx="12">
                  <c:v>1229.9860378666265</c:v>
                </c:pt>
                <c:pt idx="13">
                  <c:v>1062.1468653487148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'complex sample cd=10'!$M$4:$N$4</c:f>
              <c:strCache>
                <c:ptCount val="1"/>
                <c:pt idx="0">
                  <c:v>Globale Sicherheit (FS=2)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'complex sample cd=10'!$M$7:$M$21</c:f>
              <c:numCache>
                <c:formatCode>0</c:formatCode>
                <c:ptCount val="15"/>
                <c:pt idx="0">
                  <c:v>11256.150176082707</c:v>
                </c:pt>
                <c:pt idx="1">
                  <c:v>10066.124028368204</c:v>
                </c:pt>
                <c:pt idx="2">
                  <c:v>8992.6267832780431</c:v>
                </c:pt>
                <c:pt idx="3">
                  <c:v>8021.7441955134909</c:v>
                </c:pt>
                <c:pt idx="4">
                  <c:v>7141.8227505428749</c:v>
                </c:pt>
                <c:pt idx="5">
                  <c:v>6343.035732751966</c:v>
                </c:pt>
                <c:pt idx="6">
                  <c:v>5617.137167267827</c:v>
                </c:pt>
                <c:pt idx="7">
                  <c:v>4957.120396847602</c:v>
                </c:pt>
                <c:pt idx="8">
                  <c:v>4357.1249472337004</c:v>
                </c:pt>
                <c:pt idx="9">
                  <c:v>3812.1648778475655</c:v>
                </c:pt>
                <c:pt idx="10">
                  <c:v>3318.0241071514956</c:v>
                </c:pt>
                <c:pt idx="11">
                  <c:v>2468.8285911451012</c:v>
                </c:pt>
                <c:pt idx="12">
                  <c:v>1787.7251961141519</c:v>
                </c:pt>
                <c:pt idx="13">
                  <c:v>1258.7209339913404</c:v>
                </c:pt>
              </c:numCache>
            </c:numRef>
          </c:xVal>
          <c:yVal>
            <c:numRef>
              <c:f>'complex sample cd=10'!$N$7:$N$21</c:f>
              <c:numCache>
                <c:formatCode>0</c:formatCode>
                <c:ptCount val="15"/>
                <c:pt idx="0">
                  <c:v>0</c:v>
                </c:pt>
                <c:pt idx="1">
                  <c:v>439.49646651258553</c:v>
                </c:pt>
                <c:pt idx="2">
                  <c:v>786.75289885642508</c:v>
                </c:pt>
                <c:pt idx="3">
                  <c:v>1056.0826583465464</c:v>
                </c:pt>
                <c:pt idx="4">
                  <c:v>1259.2960423582497</c:v>
                </c:pt>
                <c:pt idx="5">
                  <c:v>1406.2171669045601</c:v>
                </c:pt>
                <c:pt idx="6">
                  <c:v>1505.1073677442585</c:v>
                </c:pt>
                <c:pt idx="7">
                  <c:v>1562.974057453355</c:v>
                </c:pt>
                <c:pt idx="8">
                  <c:v>1585.8637877717645</c:v>
                </c:pt>
                <c:pt idx="9">
                  <c:v>1579.0503944068348</c:v>
                </c:pt>
                <c:pt idx="10">
                  <c:v>1547.2200511076439</c:v>
                </c:pt>
                <c:pt idx="11">
                  <c:v>1425.3788516806687</c:v>
                </c:pt>
                <c:pt idx="12">
                  <c:v>1251.7786585665608</c:v>
                </c:pt>
                <c:pt idx="13">
                  <c:v>1056.1922714672551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'complex sample cd=10'!$D$25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'complex sample cd=10'!$F$26</c:f>
              <c:numCache>
                <c:formatCode>0.0</c:formatCode>
                <c:ptCount val="1"/>
                <c:pt idx="0">
                  <c:v>3000</c:v>
                </c:pt>
              </c:numCache>
            </c:numRef>
          </c:xVal>
          <c:yVal>
            <c:numRef>
              <c:f>'complex sample cd=10'!$F$27</c:f>
              <c:numCache>
                <c:formatCode>0.0</c:formatCode>
                <c:ptCount val="1"/>
                <c:pt idx="0">
                  <c:v>803.84757729336809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'complex sample cd=10'!$A$28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'complex sample cd=10'!$B$31</c:f>
              <c:numCache>
                <c:formatCode>0</c:formatCode>
                <c:ptCount val="1"/>
                <c:pt idx="0">
                  <c:v>5407.4511645769835</c:v>
                </c:pt>
              </c:numCache>
            </c:numRef>
          </c:xVal>
          <c:yVal>
            <c:numRef>
              <c:f>'complex sample cd=10'!$B$32</c:f>
              <c:numCache>
                <c:formatCode>0</c:formatCode>
                <c:ptCount val="1"/>
                <c:pt idx="0">
                  <c:v>1448.9221726591368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2608"/>
        <c:axId val="106694912"/>
      </c:scatterChart>
      <c:valAx>
        <c:axId val="106692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6694912"/>
        <c:crosses val="autoZero"/>
        <c:crossBetween val="midCat"/>
      </c:valAx>
      <c:valAx>
        <c:axId val="10669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669260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'complex sample cd=10'!$J$26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'complex sample cd=10'!$K$28:$K$35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0.3</c:v>
                </c:pt>
                <c:pt idx="7" formatCode="General">
                  <c:v>0.3</c:v>
                </c:pt>
              </c:numCache>
            </c:numRef>
          </c:xVal>
          <c:yVal>
            <c:numRef>
              <c:f>'complex sample cd=10'!$L$28:$L$35</c:f>
              <c:numCache>
                <c:formatCode>General</c:formatCode>
                <c:ptCount val="8"/>
                <c:pt idx="0">
                  <c:v>0</c:v>
                </c:pt>
                <c:pt idx="1">
                  <c:v>-0.17632698070846498</c:v>
                </c:pt>
                <c:pt idx="2">
                  <c:v>0.4</c:v>
                </c:pt>
                <c:pt idx="3">
                  <c:v>0.4</c:v>
                </c:pt>
                <c:pt idx="4">
                  <c:v>0</c:v>
                </c:pt>
                <c:pt idx="6">
                  <c:v>-0.14106158456677198</c:v>
                </c:pt>
                <c:pt idx="7">
                  <c:v>0.4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'complex sample cd=10'!$J$37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'complex sample cd=10'!$K$38:$K$39</c:f>
              <c:numCache>
                <c:formatCode>General</c:formatCode>
                <c:ptCount val="2"/>
                <c:pt idx="0">
                  <c:v>-9.9999999999999978E-2</c:v>
                </c:pt>
                <c:pt idx="1">
                  <c:v>0.15881904510252076</c:v>
                </c:pt>
              </c:numCache>
            </c:numRef>
          </c:xVal>
          <c:yVal>
            <c:numRef>
              <c:f>'complex sample cd=10'!$L$38:$L$39</c:f>
              <c:numCache>
                <c:formatCode>General</c:formatCode>
                <c:ptCount val="2"/>
                <c:pt idx="0">
                  <c:v>-7.053079228338599E-2</c:v>
                </c:pt>
                <c:pt idx="1">
                  <c:v>0.89539503400568232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'complex sample cd=10'!$J$41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'complex sample cd=10'!$K$41:$K$42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'complex sample cd=10'!$L$41:$L$42</c:f>
              <c:numCache>
                <c:formatCode>General</c:formatCode>
                <c:ptCount val="2"/>
                <c:pt idx="0">
                  <c:v>0.32</c:v>
                </c:pt>
                <c:pt idx="1">
                  <c:v>0.2937534009422228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13472"/>
        <c:axId val="106715392"/>
      </c:scatterChart>
      <c:valAx>
        <c:axId val="106713472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106715392"/>
        <c:crossesAt val="0"/>
        <c:crossBetween val="midCat"/>
        <c:majorUnit val="0.2"/>
      </c:valAx>
      <c:valAx>
        <c:axId val="106715392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6713472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'complex sample c=0'!$K$4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'complex sample c=0'!$K$7:$K$20</c:f>
              <c:numCache>
                <c:formatCode>0</c:formatCode>
                <c:ptCount val="14"/>
                <c:pt idx="0">
                  <c:v>5839.7854733375334</c:v>
                </c:pt>
                <c:pt idx="1">
                  <c:v>5191.0557217817059</c:v>
                </c:pt>
                <c:pt idx="2">
                  <c:v>4608.7831641749844</c:v>
                </c:pt>
                <c:pt idx="3">
                  <c:v>4084.8142683829296</c:v>
                </c:pt>
                <c:pt idx="4">
                  <c:v>3612.3124198064429</c:v>
                </c:pt>
                <c:pt idx="5">
                  <c:v>3185.5203803853974</c:v>
                </c:pt>
                <c:pt idx="6">
                  <c:v>2799.5715328450124</c:v>
                </c:pt>
                <c:pt idx="7">
                  <c:v>2450.3387086858761</c:v>
                </c:pt>
                <c:pt idx="8">
                  <c:v>2134.3121285119505</c:v>
                </c:pt>
                <c:pt idx="9">
                  <c:v>1848.4999699458722</c:v>
                </c:pt>
                <c:pt idx="10">
                  <c:v>1590.3465291288605</c:v>
                </c:pt>
                <c:pt idx="11">
                  <c:v>1148.5746674889833</c:v>
                </c:pt>
                <c:pt idx="12">
                  <c:v>794.92027847861652</c:v>
                </c:pt>
                <c:pt idx="13">
                  <c:v>518.78185006040815</c:v>
                </c:pt>
              </c:numCache>
            </c:numRef>
          </c:xVal>
          <c:yVal>
            <c:numRef>
              <c:f>'complex sample c=0'!$L$7:$L$20</c:f>
              <c:numCache>
                <c:formatCode>0</c:formatCode>
                <c:ptCount val="14"/>
                <c:pt idx="0">
                  <c:v>0</c:v>
                </c:pt>
                <c:pt idx="1">
                  <c:v>226.64638750361593</c:v>
                </c:pt>
                <c:pt idx="2">
                  <c:v>403.21627951444862</c:v>
                </c:pt>
                <c:pt idx="3">
                  <c:v>537.7760006132437</c:v>
                </c:pt>
                <c:pt idx="4">
                  <c:v>636.94814236015907</c:v>
                </c:pt>
                <c:pt idx="5">
                  <c:v>706.21286607175023</c:v>
                </c:pt>
                <c:pt idx="6">
                  <c:v>750.1429313789813</c:v>
                </c:pt>
                <c:pt idx="7">
                  <c:v>772.58882719194912</c:v>
                </c:pt>
                <c:pt idx="8">
                  <c:v>776.82608541169157</c:v>
                </c:pt>
                <c:pt idx="9">
                  <c:v>765.67375759783886</c:v>
                </c:pt>
                <c:pt idx="10">
                  <c:v>741.59076565300916</c:v>
                </c:pt>
                <c:pt idx="11">
                  <c:v>663.12989345914934</c:v>
                </c:pt>
                <c:pt idx="12">
                  <c:v>556.60917126648894</c:v>
                </c:pt>
                <c:pt idx="13">
                  <c:v>435.30965904715544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'complex sample c=0'!$M$4:$N$4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'complex sample c=0'!$M$7:$M$21</c:f>
              <c:numCache>
                <c:formatCode>0</c:formatCode>
                <c:ptCount val="15"/>
                <c:pt idx="0">
                  <c:v>6038.1503908874138</c:v>
                </c:pt>
                <c:pt idx="1">
                  <c:v>5360.3293881493646</c:v>
                </c:pt>
                <c:pt idx="2">
                  <c:v>4752.6065043375047</c:v>
                </c:pt>
                <c:pt idx="3">
                  <c:v>4206.3534513885988</c:v>
                </c:pt>
                <c:pt idx="4">
                  <c:v>3714.3376356164131</c:v>
                </c:pt>
                <c:pt idx="5">
                  <c:v>3270.4697251230587</c:v>
                </c:pt>
                <c:pt idx="6">
                  <c:v>2869.6030905490429</c:v>
                </c:pt>
                <c:pt idx="7">
                  <c:v>2507.3731870502252</c:v>
                </c:pt>
                <c:pt idx="8">
                  <c:v>2180.0678556102171</c:v>
                </c:pt>
                <c:pt idx="9">
                  <c:v>1884.5216389714683</c:v>
                </c:pt>
                <c:pt idx="10">
                  <c:v>1618.0287533416999</c:v>
                </c:pt>
                <c:pt idx="11">
                  <c:v>1163.2536034712605</c:v>
                </c:pt>
                <c:pt idx="12">
                  <c:v>800.78384249945759</c:v>
                </c:pt>
                <c:pt idx="13">
                  <c:v>519.28140996846651</c:v>
                </c:pt>
              </c:numCache>
            </c:numRef>
          </c:xVal>
          <c:yVal>
            <c:numRef>
              <c:f>'complex sample c=0'!$N$7:$N$21</c:f>
              <c:numCache>
                <c:formatCode>0</c:formatCode>
                <c:ptCount val="15"/>
                <c:pt idx="0">
                  <c:v>0</c:v>
                </c:pt>
                <c:pt idx="1">
                  <c:v>234.03703538680878</c:v>
                </c:pt>
                <c:pt idx="2">
                  <c:v>415.79919132910186</c:v>
                </c:pt>
                <c:pt idx="3">
                  <c:v>553.77693761067167</c:v>
                </c:pt>
                <c:pt idx="4">
                  <c:v>654.93794062006066</c:v>
                </c:pt>
                <c:pt idx="5">
                  <c:v>725.04568239510479</c:v>
                </c:pt>
                <c:pt idx="6">
                  <c:v>768.90783071046985</c:v>
                </c:pt>
                <c:pt idx="7">
                  <c:v>790.57172914457294</c:v>
                </c:pt>
                <c:pt idx="8">
                  <c:v>793.47980812266803</c:v>
                </c:pt>
                <c:pt idx="9">
                  <c:v>780.59442144755553</c:v>
                </c:pt>
                <c:pt idx="10">
                  <c:v>754.49919879821994</c:v>
                </c:pt>
                <c:pt idx="11">
                  <c:v>671.60478109993437</c:v>
                </c:pt>
                <c:pt idx="12">
                  <c:v>560.71488299465716</c:v>
                </c:pt>
                <c:pt idx="13">
                  <c:v>435.72883958175811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'complex sample c=0'!$D$25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'complex sample c=0'!$F$26</c:f>
              <c:numCache>
                <c:formatCode>0.0</c:formatCode>
                <c:ptCount val="1"/>
                <c:pt idx="0">
                  <c:v>2000</c:v>
                </c:pt>
              </c:numCache>
            </c:numRef>
          </c:xVal>
          <c:yVal>
            <c:numRef>
              <c:f>'complex sample c=0'!$F$27</c:f>
              <c:numCache>
                <c:formatCode>0.0</c:formatCode>
                <c:ptCount val="1"/>
                <c:pt idx="0">
                  <c:v>535.89838486224539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'complex sample c=0'!$A$28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'complex sample c=0'!$B$31</c:f>
              <c:numCache>
                <c:formatCode>0</c:formatCode>
                <c:ptCount val="1"/>
                <c:pt idx="0">
                  <c:v>2799.5715328450124</c:v>
                </c:pt>
              </c:numCache>
            </c:numRef>
          </c:xVal>
          <c:yVal>
            <c:numRef>
              <c:f>'complex sample c=0'!$B$32</c:f>
              <c:numCache>
                <c:formatCode>0</c:formatCode>
                <c:ptCount val="1"/>
                <c:pt idx="0">
                  <c:v>750.1429313789813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70976"/>
        <c:axId val="107073536"/>
      </c:scatterChart>
      <c:valAx>
        <c:axId val="107070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7073536"/>
        <c:crosses val="autoZero"/>
        <c:crossBetween val="midCat"/>
      </c:valAx>
      <c:valAx>
        <c:axId val="107073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70709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'complex sample c=0'!$J$26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'complex sample c=0'!$K$28:$K$35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0.3</c:v>
                </c:pt>
                <c:pt idx="7" formatCode="General">
                  <c:v>0.3</c:v>
                </c:pt>
              </c:numCache>
            </c:numRef>
          </c:xVal>
          <c:yVal>
            <c:numRef>
              <c:f>'complex sample c=0'!$L$28:$L$35</c:f>
              <c:numCache>
                <c:formatCode>General</c:formatCode>
                <c:ptCount val="8"/>
                <c:pt idx="0">
                  <c:v>0</c:v>
                </c:pt>
                <c:pt idx="1">
                  <c:v>-0.17632698070846498</c:v>
                </c:pt>
                <c:pt idx="2">
                  <c:v>0.4</c:v>
                </c:pt>
                <c:pt idx="3">
                  <c:v>0.4</c:v>
                </c:pt>
                <c:pt idx="4">
                  <c:v>0</c:v>
                </c:pt>
                <c:pt idx="6">
                  <c:v>-0.14106158456677198</c:v>
                </c:pt>
                <c:pt idx="7">
                  <c:v>0.4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'complex sample c=0'!$J$37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'complex sample c=0'!$K$38:$K$39</c:f>
              <c:numCache>
                <c:formatCode>General</c:formatCode>
                <c:ptCount val="2"/>
                <c:pt idx="0">
                  <c:v>-9.9999999999999978E-2</c:v>
                </c:pt>
                <c:pt idx="1">
                  <c:v>0.15881904510252076</c:v>
                </c:pt>
              </c:numCache>
            </c:numRef>
          </c:xVal>
          <c:yVal>
            <c:numRef>
              <c:f>'complex sample c=0'!$L$38:$L$39</c:f>
              <c:numCache>
                <c:formatCode>General</c:formatCode>
                <c:ptCount val="2"/>
                <c:pt idx="0">
                  <c:v>-7.053079228338599E-2</c:v>
                </c:pt>
                <c:pt idx="1">
                  <c:v>0.89539503400568232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'complex sample c=0'!$J$41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'complex sample c=0'!$K$41:$K$42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'complex sample c=0'!$L$41:$L$42</c:f>
              <c:numCache>
                <c:formatCode>General</c:formatCode>
                <c:ptCount val="2"/>
                <c:pt idx="0">
                  <c:v>0.32</c:v>
                </c:pt>
                <c:pt idx="1">
                  <c:v>0.2937534009422228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34592"/>
        <c:axId val="123936768"/>
      </c:scatterChart>
      <c:valAx>
        <c:axId val="123934592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123936768"/>
        <c:crossesAt val="0"/>
        <c:crossBetween val="midCat"/>
        <c:majorUnit val="0.2"/>
      </c:valAx>
      <c:valAx>
        <c:axId val="12393676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934592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108"/>
  <sheetViews>
    <sheetView tabSelected="1" workbookViewId="0">
      <selection activeCell="G108" sqref="G108"/>
    </sheetView>
  </sheetViews>
  <sheetFormatPr baseColWidth="10" defaultRowHeight="15" x14ac:dyDescent="0.25"/>
  <cols>
    <col min="7" max="7" width="12.7109375" bestFit="1" customWidth="1"/>
  </cols>
  <sheetData>
    <row r="1" spans="1:7" x14ac:dyDescent="0.25">
      <c r="G1" t="s">
        <v>187</v>
      </c>
    </row>
    <row r="2" spans="1:7" s="18" customFormat="1" x14ac:dyDescent="0.25">
      <c r="A2" s="18" t="s">
        <v>126</v>
      </c>
      <c r="G2" s="18" t="s">
        <v>184</v>
      </c>
    </row>
    <row r="3" spans="1:7" s="68" customFormat="1" x14ac:dyDescent="0.25">
      <c r="A3" s="68" t="s">
        <v>172</v>
      </c>
    </row>
    <row r="4" spans="1:7" s="68" customFormat="1" x14ac:dyDescent="0.25">
      <c r="A4" s="69" t="s">
        <v>135</v>
      </c>
      <c r="B4" s="69">
        <v>1</v>
      </c>
      <c r="C4" s="68" t="s">
        <v>5</v>
      </c>
      <c r="D4" s="69" t="s">
        <v>136</v>
      </c>
      <c r="E4" s="69">
        <v>0.16</v>
      </c>
      <c r="F4" s="70" t="s">
        <v>5</v>
      </c>
    </row>
    <row r="5" spans="1:7" s="68" customFormat="1" x14ac:dyDescent="0.25">
      <c r="A5" s="69" t="s">
        <v>29</v>
      </c>
      <c r="B5" s="69">
        <v>0</v>
      </c>
      <c r="C5" s="68" t="s">
        <v>4</v>
      </c>
      <c r="D5" s="69" t="s">
        <v>158</v>
      </c>
      <c r="E5" s="69">
        <v>0</v>
      </c>
      <c r="F5" s="70" t="s">
        <v>3</v>
      </c>
    </row>
    <row r="6" spans="1:7" s="68" customFormat="1" x14ac:dyDescent="0.25">
      <c r="A6" s="69" t="s">
        <v>168</v>
      </c>
      <c r="B6" s="69">
        <f>ATAN(TAN(36/180*PI())*1.2)*180/PI()</f>
        <v>41.083579372965538</v>
      </c>
      <c r="C6" s="68" t="s">
        <v>3</v>
      </c>
      <c r="D6" s="69" t="s">
        <v>159</v>
      </c>
      <c r="E6" s="69">
        <v>0</v>
      </c>
      <c r="F6" s="70" t="s">
        <v>3</v>
      </c>
    </row>
    <row r="7" spans="1:7" s="68" customFormat="1" x14ac:dyDescent="0.25">
      <c r="A7" s="69" t="s">
        <v>30</v>
      </c>
      <c r="B7" s="69">
        <v>22</v>
      </c>
      <c r="C7" s="68" t="s">
        <v>169</v>
      </c>
      <c r="D7" s="69" t="s">
        <v>160</v>
      </c>
      <c r="E7" s="69">
        <v>16</v>
      </c>
      <c r="F7" s="70" t="s">
        <v>3</v>
      </c>
    </row>
    <row r="8" spans="1:7" s="68" customFormat="1" x14ac:dyDescent="0.25">
      <c r="A8" s="69" t="s">
        <v>31</v>
      </c>
      <c r="B8" s="69">
        <v>0</v>
      </c>
      <c r="C8" s="68" t="s">
        <v>5</v>
      </c>
      <c r="D8" s="69" t="s">
        <v>8</v>
      </c>
      <c r="E8" s="69">
        <f>E7+E5</f>
        <v>16</v>
      </c>
      <c r="F8" s="70" t="s">
        <v>3</v>
      </c>
    </row>
    <row r="9" spans="1:7" s="68" customFormat="1" x14ac:dyDescent="0.25">
      <c r="A9" s="22" t="s">
        <v>167</v>
      </c>
      <c r="B9" s="22">
        <v>36</v>
      </c>
      <c r="C9" t="s">
        <v>3</v>
      </c>
      <c r="D9"/>
      <c r="E9"/>
      <c r="F9"/>
    </row>
    <row r="10" spans="1:7" x14ac:dyDescent="0.25">
      <c r="A10" s="22" t="s">
        <v>173</v>
      </c>
      <c r="B10" s="22">
        <v>11</v>
      </c>
      <c r="C10" t="s">
        <v>4</v>
      </c>
    </row>
    <row r="13" spans="1:7" x14ac:dyDescent="0.25">
      <c r="B13" t="s">
        <v>127</v>
      </c>
      <c r="D13" t="s">
        <v>130</v>
      </c>
      <c r="F13" t="s">
        <v>131</v>
      </c>
    </row>
    <row r="14" spans="1:7" x14ac:dyDescent="0.25">
      <c r="A14" t="s">
        <v>128</v>
      </c>
      <c r="B14" s="12">
        <v>310</v>
      </c>
      <c r="C14" t="s">
        <v>4</v>
      </c>
      <c r="D14" s="8">
        <f>'LHAP K17-14'!B34</f>
        <v>308.8337110098721</v>
      </c>
      <c r="F14" s="65">
        <f>(D14/B14)-1</f>
        <v>-3.7622225487996541E-3</v>
      </c>
    </row>
    <row r="15" spans="1:7" x14ac:dyDescent="0.25">
      <c r="B15" s="12"/>
      <c r="D15" s="8"/>
    </row>
    <row r="16" spans="1:7" x14ac:dyDescent="0.25">
      <c r="A16" t="s">
        <v>129</v>
      </c>
      <c r="B16" s="12">
        <v>191.9</v>
      </c>
      <c r="C16" t="s">
        <v>4</v>
      </c>
      <c r="D16" s="76">
        <f>'LHAP K17-14'!D54</f>
        <v>191.55696226949334</v>
      </c>
      <c r="F16" s="65">
        <f>(D16/B16)-1</f>
        <v>-1.7875858807017142E-3</v>
      </c>
    </row>
    <row r="17" spans="1:7" x14ac:dyDescent="0.25">
      <c r="B17" s="12">
        <v>118.7</v>
      </c>
      <c r="C17" t="s">
        <v>4</v>
      </c>
      <c r="D17" s="76">
        <f>'LHAP K17-14'!D55</f>
        <v>117.27674874037881</v>
      </c>
      <c r="F17" s="65">
        <f>(D17/B17)-1</f>
        <v>-1.1990322321998259E-2</v>
      </c>
    </row>
    <row r="18" spans="1:7" x14ac:dyDescent="0.25">
      <c r="B18" s="12"/>
      <c r="D18" s="8"/>
    </row>
    <row r="19" spans="1:7" x14ac:dyDescent="0.25">
      <c r="A19" s="65" t="s">
        <v>132</v>
      </c>
      <c r="B19" s="12">
        <v>47.1</v>
      </c>
      <c r="D19" s="75">
        <f>'LHAP K17-14'!B38</f>
        <v>47.1</v>
      </c>
      <c r="F19" s="65">
        <f>(D19/B19)-1</f>
        <v>0</v>
      </c>
    </row>
    <row r="20" spans="1:7" x14ac:dyDescent="0.25">
      <c r="B20" s="12">
        <v>13.5</v>
      </c>
      <c r="D20" s="75">
        <f>'LHAP K17-14'!B44</f>
        <v>13.505707669239854</v>
      </c>
      <c r="F20" s="65">
        <f>(D20/B20)-1</f>
        <v>4.2279031406322609E-4</v>
      </c>
    </row>
    <row r="22" spans="1:7" s="18" customFormat="1" x14ac:dyDescent="0.25">
      <c r="A22" s="18" t="s">
        <v>133</v>
      </c>
      <c r="G22" s="18" t="s">
        <v>185</v>
      </c>
    </row>
    <row r="23" spans="1:7" x14ac:dyDescent="0.25">
      <c r="A23" t="s">
        <v>171</v>
      </c>
    </row>
    <row r="24" spans="1:7" x14ac:dyDescent="0.25">
      <c r="A24" s="22" t="s">
        <v>135</v>
      </c>
      <c r="B24" s="22">
        <v>2.5</v>
      </c>
      <c r="C24" t="s">
        <v>5</v>
      </c>
      <c r="D24" s="22" t="s">
        <v>136</v>
      </c>
      <c r="E24" s="22">
        <v>0.25</v>
      </c>
      <c r="F24" s="67" t="s">
        <v>5</v>
      </c>
    </row>
    <row r="25" spans="1:7" x14ac:dyDescent="0.25">
      <c r="A25" s="22" t="s">
        <v>134</v>
      </c>
      <c r="B25" s="22">
        <v>4.5</v>
      </c>
      <c r="C25" t="s">
        <v>5</v>
      </c>
      <c r="D25" s="22" t="s">
        <v>137</v>
      </c>
      <c r="E25" s="22">
        <v>0.25</v>
      </c>
      <c r="F25" s="67" t="s">
        <v>5</v>
      </c>
    </row>
    <row r="26" spans="1:7" x14ac:dyDescent="0.25">
      <c r="A26" s="22" t="s">
        <v>29</v>
      </c>
      <c r="B26" s="22">
        <v>0</v>
      </c>
      <c r="C26" t="s">
        <v>4</v>
      </c>
      <c r="D26" s="22" t="s">
        <v>158</v>
      </c>
      <c r="E26" s="22">
        <v>10</v>
      </c>
      <c r="F26" s="67" t="s">
        <v>3</v>
      </c>
    </row>
    <row r="27" spans="1:7" x14ac:dyDescent="0.25">
      <c r="A27" s="22" t="s">
        <v>168</v>
      </c>
      <c r="B27" s="22">
        <f>ATAN(TAN(30/180*PI())*1.2)*180/PI()</f>
        <v>34.715003953948212</v>
      </c>
      <c r="C27" t="s">
        <v>3</v>
      </c>
      <c r="D27" s="22" t="s">
        <v>159</v>
      </c>
      <c r="E27" s="22">
        <v>5</v>
      </c>
      <c r="F27" s="67" t="s">
        <v>3</v>
      </c>
    </row>
    <row r="28" spans="1:7" x14ac:dyDescent="0.25">
      <c r="A28" s="22" t="s">
        <v>30</v>
      </c>
      <c r="B28" s="22">
        <v>20</v>
      </c>
      <c r="C28" t="s">
        <v>169</v>
      </c>
      <c r="D28" s="22" t="s">
        <v>160</v>
      </c>
      <c r="E28" s="22">
        <v>5</v>
      </c>
      <c r="F28" s="67" t="s">
        <v>3</v>
      </c>
    </row>
    <row r="29" spans="1:7" x14ac:dyDescent="0.25">
      <c r="A29" s="22" t="s">
        <v>31</v>
      </c>
      <c r="B29" s="22">
        <v>0.8</v>
      </c>
      <c r="C29" t="s">
        <v>5</v>
      </c>
      <c r="D29" s="22" t="s">
        <v>8</v>
      </c>
      <c r="E29" s="22">
        <f>E28+E26</f>
        <v>15</v>
      </c>
      <c r="F29" s="67" t="s">
        <v>3</v>
      </c>
    </row>
    <row r="30" spans="1:7" x14ac:dyDescent="0.25">
      <c r="A30" s="22" t="s">
        <v>167</v>
      </c>
      <c r="B30" s="22">
        <v>30</v>
      </c>
      <c r="C30" t="s">
        <v>3</v>
      </c>
    </row>
    <row r="31" spans="1:7" x14ac:dyDescent="0.25">
      <c r="A31" s="22" t="s">
        <v>173</v>
      </c>
      <c r="B31" s="22">
        <v>0</v>
      </c>
      <c r="C31" t="s">
        <v>4</v>
      </c>
    </row>
    <row r="32" spans="1:7" x14ac:dyDescent="0.25">
      <c r="A32" s="67" t="s">
        <v>170</v>
      </c>
    </row>
    <row r="33" spans="1:6" x14ac:dyDescent="0.25">
      <c r="A33" s="14" t="s">
        <v>138</v>
      </c>
      <c r="B33" s="14">
        <f>B24-2*E24</f>
        <v>2</v>
      </c>
      <c r="C33" t="s">
        <v>5</v>
      </c>
    </row>
    <row r="34" spans="1:6" x14ac:dyDescent="0.25">
      <c r="A34" s="14" t="s">
        <v>139</v>
      </c>
      <c r="B34" s="14">
        <f>B25-2*E25</f>
        <v>4</v>
      </c>
      <c r="C34" t="s">
        <v>5</v>
      </c>
    </row>
    <row r="35" spans="1:6" x14ac:dyDescent="0.25">
      <c r="A35" t="s">
        <v>163</v>
      </c>
      <c r="B35" t="s">
        <v>174</v>
      </c>
      <c r="D35" t="s">
        <v>179</v>
      </c>
      <c r="F35" t="s">
        <v>131</v>
      </c>
    </row>
    <row r="36" spans="1:6" x14ac:dyDescent="0.25">
      <c r="A36" t="s">
        <v>140</v>
      </c>
      <c r="B36" s="12">
        <v>30.1</v>
      </c>
      <c r="D36" s="8">
        <v>30.14</v>
      </c>
      <c r="F36" s="65">
        <f>(D36/B36)-1</f>
        <v>1.3289036544850141E-3</v>
      </c>
    </row>
    <row r="37" spans="1:6" x14ac:dyDescent="0.25">
      <c r="A37" t="s">
        <v>141</v>
      </c>
      <c r="B37" s="12">
        <v>18.399999999999999</v>
      </c>
      <c r="D37" s="8">
        <v>18.401</v>
      </c>
      <c r="F37" s="65">
        <f t="shared" ref="F37:F38" si="0">(D37/B37)-1</f>
        <v>5.434782608704225E-5</v>
      </c>
    </row>
    <row r="38" spans="1:6" x14ac:dyDescent="0.25">
      <c r="A38" t="s">
        <v>142</v>
      </c>
      <c r="B38" s="12">
        <v>18.100000000000001</v>
      </c>
      <c r="D38" s="8">
        <v>18.084</v>
      </c>
      <c r="F38" s="65">
        <f t="shared" si="0"/>
        <v>-8.8397790055261272E-4</v>
      </c>
    </row>
    <row r="39" spans="1:6" x14ac:dyDescent="0.25">
      <c r="A39" t="s">
        <v>162</v>
      </c>
      <c r="F39" s="65"/>
    </row>
    <row r="40" spans="1:6" x14ac:dyDescent="0.25">
      <c r="A40" t="s">
        <v>143</v>
      </c>
      <c r="B40" s="12">
        <v>1.31</v>
      </c>
      <c r="D40" s="8">
        <v>1.3049999999999999</v>
      </c>
      <c r="F40" s="65">
        <f t="shared" ref="F40:F58" si="1">(D40/B40)-1</f>
        <v>-3.8167938931298329E-3</v>
      </c>
    </row>
    <row r="41" spans="1:6" x14ac:dyDescent="0.25">
      <c r="A41" t="s">
        <v>144</v>
      </c>
      <c r="B41" s="12">
        <v>1.31</v>
      </c>
      <c r="D41" s="8">
        <v>1.2889999999999999</v>
      </c>
      <c r="F41" s="65">
        <f t="shared" si="1"/>
        <v>-1.6030534351145098E-2</v>
      </c>
    </row>
    <row r="42" spans="1:6" x14ac:dyDescent="0.25">
      <c r="A42" t="s">
        <v>145</v>
      </c>
      <c r="B42" s="12">
        <v>0.8</v>
      </c>
      <c r="D42" s="8">
        <v>0.8</v>
      </c>
      <c r="F42" s="65">
        <f t="shared" si="1"/>
        <v>0</v>
      </c>
    </row>
    <row r="43" spans="1:6" x14ac:dyDescent="0.25">
      <c r="A43" t="s">
        <v>161</v>
      </c>
      <c r="F43" s="65"/>
    </row>
    <row r="44" spans="1:6" x14ac:dyDescent="0.25">
      <c r="A44" t="s">
        <v>146</v>
      </c>
      <c r="B44" s="12">
        <v>1.1499999999999999</v>
      </c>
      <c r="D44" s="8">
        <v>1.153</v>
      </c>
      <c r="F44" s="65">
        <f t="shared" ref="F44" si="2">(D44/B44)-1</f>
        <v>2.6086956521740312E-3</v>
      </c>
    </row>
    <row r="45" spans="1:6" x14ac:dyDescent="0.25">
      <c r="A45" t="s">
        <v>147</v>
      </c>
      <c r="B45" s="12">
        <v>1.1200000000000001</v>
      </c>
      <c r="D45" s="8">
        <v>1.1100000000000001</v>
      </c>
      <c r="F45" s="65">
        <f t="shared" si="1"/>
        <v>-8.9285714285713969E-3</v>
      </c>
    </row>
    <row r="46" spans="1:6" x14ac:dyDescent="0.25">
      <c r="A46" t="s">
        <v>148</v>
      </c>
      <c r="B46" s="12">
        <v>1</v>
      </c>
      <c r="D46" s="8">
        <v>1</v>
      </c>
      <c r="F46" s="65">
        <f t="shared" si="1"/>
        <v>0</v>
      </c>
    </row>
    <row r="47" spans="1:6" x14ac:dyDescent="0.25">
      <c r="A47" t="s">
        <v>164</v>
      </c>
      <c r="F47" s="65"/>
    </row>
    <row r="48" spans="1:6" x14ac:dyDescent="0.25">
      <c r="A48" t="s">
        <v>149</v>
      </c>
      <c r="B48" s="12">
        <v>0.79</v>
      </c>
      <c r="D48" s="8">
        <v>0.78800000000000003</v>
      </c>
      <c r="F48" s="65">
        <f t="shared" ref="F48" si="3">(D48/B48)-1</f>
        <v>-2.5316455696202667E-3</v>
      </c>
    </row>
    <row r="49" spans="1:9" x14ac:dyDescent="0.25">
      <c r="A49" t="s">
        <v>150</v>
      </c>
      <c r="B49" s="12">
        <v>0.8</v>
      </c>
      <c r="D49" s="8">
        <v>0.8</v>
      </c>
      <c r="F49" s="65">
        <f t="shared" si="1"/>
        <v>0</v>
      </c>
    </row>
    <row r="50" spans="1:9" x14ac:dyDescent="0.25">
      <c r="A50" t="s">
        <v>151</v>
      </c>
      <c r="B50" s="12">
        <v>0.74</v>
      </c>
      <c r="D50" s="8">
        <v>0.73699999999999999</v>
      </c>
      <c r="F50" s="65">
        <f t="shared" si="1"/>
        <v>-4.0540540540540126E-3</v>
      </c>
    </row>
    <row r="51" spans="1:9" x14ac:dyDescent="0.25">
      <c r="A51" t="s">
        <v>165</v>
      </c>
      <c r="F51" s="65"/>
    </row>
    <row r="52" spans="1:9" x14ac:dyDescent="0.25">
      <c r="A52" t="s">
        <v>152</v>
      </c>
      <c r="B52" s="12">
        <v>0.97</v>
      </c>
      <c r="D52" s="8">
        <v>0.96599999999999997</v>
      </c>
      <c r="F52" s="65">
        <f t="shared" ref="F52" si="4">(D52/B52)-1</f>
        <v>-4.1237113402061709E-3</v>
      </c>
    </row>
    <row r="53" spans="1:9" x14ac:dyDescent="0.25">
      <c r="A53" t="s">
        <v>153</v>
      </c>
      <c r="B53" s="12">
        <v>0.8</v>
      </c>
      <c r="D53" s="8">
        <v>0.8</v>
      </c>
      <c r="F53" s="65">
        <f t="shared" si="1"/>
        <v>0</v>
      </c>
    </row>
    <row r="54" spans="1:9" x14ac:dyDescent="0.25">
      <c r="A54" t="s">
        <v>154</v>
      </c>
      <c r="B54" s="12">
        <v>0.8</v>
      </c>
      <c r="D54" s="8">
        <v>0.8</v>
      </c>
      <c r="F54" s="65">
        <f t="shared" si="1"/>
        <v>0</v>
      </c>
    </row>
    <row r="55" spans="1:9" x14ac:dyDescent="0.25">
      <c r="A55" t="s">
        <v>166</v>
      </c>
      <c r="F55" s="65"/>
    </row>
    <row r="56" spans="1:9" x14ac:dyDescent="0.25">
      <c r="A56" t="s">
        <v>155</v>
      </c>
      <c r="B56" s="12">
        <v>0.93</v>
      </c>
      <c r="D56" s="8">
        <v>0.93200000000000005</v>
      </c>
      <c r="F56" s="65">
        <f t="shared" ref="F56" si="5">(D56/B56)-1</f>
        <v>2.1505376344086446E-3</v>
      </c>
    </row>
    <row r="57" spans="1:9" x14ac:dyDescent="0.25">
      <c r="A57" t="s">
        <v>156</v>
      </c>
      <c r="B57" s="12">
        <v>0.82</v>
      </c>
      <c r="D57" s="8">
        <v>0.81699999999999995</v>
      </c>
      <c r="F57" s="65">
        <f t="shared" si="1"/>
        <v>-3.6585365853658569E-3</v>
      </c>
    </row>
    <row r="58" spans="1:9" x14ac:dyDescent="0.25">
      <c r="A58" t="s">
        <v>157</v>
      </c>
      <c r="B58" s="12">
        <v>0.76</v>
      </c>
      <c r="D58" s="8">
        <v>0.76200000000000001</v>
      </c>
      <c r="F58" s="65">
        <f t="shared" si="1"/>
        <v>2.6315789473683182E-3</v>
      </c>
    </row>
    <row r="59" spans="1:9" x14ac:dyDescent="0.25">
      <c r="D59" t="s">
        <v>180</v>
      </c>
      <c r="F59" t="s">
        <v>131</v>
      </c>
      <c r="H59" t="s">
        <v>181</v>
      </c>
    </row>
    <row r="60" spans="1:9" x14ac:dyDescent="0.25">
      <c r="A60" t="s">
        <v>177</v>
      </c>
      <c r="B60" s="71">
        <f>B36*B40*B44*B48*B52*B56*B26</f>
        <v>0</v>
      </c>
      <c r="C60" t="s">
        <v>4</v>
      </c>
      <c r="D60" s="73">
        <f>'complex sample c=0'!D53</f>
        <v>0</v>
      </c>
      <c r="F60" s="65"/>
      <c r="H60" s="65">
        <f>(1+F36)*(1+F40)*(1+F44)*(1+F48)*(1+F52)*(1+F56)-1</f>
        <v>-4.3999322436727439E-3</v>
      </c>
      <c r="I60" s="15"/>
    </row>
    <row r="61" spans="1:9" x14ac:dyDescent="0.25">
      <c r="A61" t="s">
        <v>175</v>
      </c>
      <c r="B61" s="71">
        <f>B37*B41*B45*B49*B53*B57*(B29*B28+B31)</f>
        <v>226.68404326400002</v>
      </c>
      <c r="C61" t="s">
        <v>4</v>
      </c>
      <c r="D61" s="73">
        <f>'complex sample c=0'!D54</f>
        <v>220.02164501714506</v>
      </c>
      <c r="F61" s="65">
        <f>(D61/B61)-1</f>
        <v>-2.9390680309578809E-2</v>
      </c>
      <c r="H61" s="65">
        <f>(1+F37)*(1+F41)*(1+F45)*(1+F49)*(1+F53)*(1+F57)-1</f>
        <v>-2.8330917205484196E-2</v>
      </c>
      <c r="I61" s="15"/>
    </row>
    <row r="62" spans="1:9" x14ac:dyDescent="0.25">
      <c r="A62" t="s">
        <v>176</v>
      </c>
      <c r="B62" s="71">
        <f>B38*B42*B46*B50*B54*B58*B33*0.5*B28</f>
        <v>130.29683200000002</v>
      </c>
      <c r="C62" t="s">
        <v>4</v>
      </c>
      <c r="D62" s="73">
        <f>'complex sample c=0'!D55</f>
        <v>129.92479658848154</v>
      </c>
      <c r="F62" s="65">
        <f>(D62/B62)-1</f>
        <v>-2.8552913053057072E-3</v>
      </c>
      <c r="H62" s="65">
        <f>(1+F38)*(1+F42)*(1+F46)*(1+F50)*(1+F54)*(1+F58)-1</f>
        <v>-2.315854703205944E-3</v>
      </c>
      <c r="I62" s="15"/>
    </row>
    <row r="63" spans="1:9" x14ac:dyDescent="0.25">
      <c r="A63" t="s">
        <v>178</v>
      </c>
      <c r="B63" s="71">
        <f>SUM(B60:B62)</f>
        <v>356.98087526400002</v>
      </c>
      <c r="C63" t="s">
        <v>4</v>
      </c>
      <c r="D63" s="73">
        <f>'complex sample c=0'!B34</f>
        <v>349.94644160562655</v>
      </c>
      <c r="F63" s="65">
        <f>(D63/B63)-1</f>
        <v>-1.9705351591093656E-2</v>
      </c>
      <c r="I63" s="15"/>
    </row>
    <row r="64" spans="1:9" x14ac:dyDescent="0.25">
      <c r="A64" t="s">
        <v>62</v>
      </c>
      <c r="B64" s="72">
        <f>B63*B33*B34</f>
        <v>2855.8470021120002</v>
      </c>
      <c r="C64" t="s">
        <v>1</v>
      </c>
      <c r="D64" s="74">
        <f>'complex sample c=0'!B31</f>
        <v>2799.5715328450124</v>
      </c>
      <c r="F64" s="65">
        <f>(D64/B64)-1</f>
        <v>-1.9705351591093656E-2</v>
      </c>
      <c r="I64" s="1"/>
    </row>
    <row r="66" spans="1:7" s="18" customFormat="1" x14ac:dyDescent="0.25">
      <c r="A66" s="18" t="s">
        <v>133</v>
      </c>
      <c r="G66" s="18" t="s">
        <v>186</v>
      </c>
    </row>
    <row r="67" spans="1:7" x14ac:dyDescent="0.25">
      <c r="A67" t="s">
        <v>171</v>
      </c>
    </row>
    <row r="68" spans="1:7" x14ac:dyDescent="0.25">
      <c r="A68" s="22" t="s">
        <v>135</v>
      </c>
      <c r="B68" s="22">
        <v>2.5</v>
      </c>
      <c r="C68" t="s">
        <v>5</v>
      </c>
      <c r="D68" s="22" t="s">
        <v>136</v>
      </c>
      <c r="E68" s="22">
        <v>0.25</v>
      </c>
      <c r="F68" s="67" t="s">
        <v>5</v>
      </c>
    </row>
    <row r="69" spans="1:7" x14ac:dyDescent="0.25">
      <c r="A69" s="22" t="s">
        <v>134</v>
      </c>
      <c r="B69" s="22">
        <v>4.5</v>
      </c>
      <c r="C69" t="s">
        <v>5</v>
      </c>
      <c r="D69" s="22" t="s">
        <v>137</v>
      </c>
      <c r="E69" s="22">
        <v>0.25</v>
      </c>
      <c r="F69" s="67" t="s">
        <v>5</v>
      </c>
    </row>
    <row r="70" spans="1:7" x14ac:dyDescent="0.25">
      <c r="A70" s="22" t="s">
        <v>183</v>
      </c>
      <c r="B70" s="22">
        <v>10</v>
      </c>
      <c r="C70" t="s">
        <v>4</v>
      </c>
      <c r="D70" s="22" t="s">
        <v>158</v>
      </c>
      <c r="E70" s="22">
        <v>10</v>
      </c>
      <c r="F70" s="67" t="s">
        <v>3</v>
      </c>
    </row>
    <row r="71" spans="1:7" x14ac:dyDescent="0.25">
      <c r="A71" s="22" t="s">
        <v>168</v>
      </c>
      <c r="B71" s="22">
        <f>ATAN(TAN(30/180*PI())*1.2)*180/PI()</f>
        <v>34.715003953948212</v>
      </c>
      <c r="C71" t="s">
        <v>3</v>
      </c>
      <c r="D71" s="22" t="s">
        <v>159</v>
      </c>
      <c r="E71" s="22">
        <v>5</v>
      </c>
      <c r="F71" s="67" t="s">
        <v>3</v>
      </c>
    </row>
    <row r="72" spans="1:7" x14ac:dyDescent="0.25">
      <c r="A72" s="22" t="s">
        <v>30</v>
      </c>
      <c r="B72" s="22">
        <v>20</v>
      </c>
      <c r="C72" t="s">
        <v>169</v>
      </c>
      <c r="D72" s="22" t="s">
        <v>160</v>
      </c>
      <c r="E72" s="22">
        <v>5</v>
      </c>
      <c r="F72" s="67" t="s">
        <v>3</v>
      </c>
    </row>
    <row r="73" spans="1:7" x14ac:dyDescent="0.25">
      <c r="A73" s="22" t="s">
        <v>31</v>
      </c>
      <c r="B73" s="22">
        <v>0.8</v>
      </c>
      <c r="C73" t="s">
        <v>5</v>
      </c>
      <c r="D73" s="22" t="s">
        <v>8</v>
      </c>
      <c r="E73" s="22">
        <f>E72+E70</f>
        <v>15</v>
      </c>
      <c r="F73" s="67" t="s">
        <v>3</v>
      </c>
    </row>
    <row r="74" spans="1:7" x14ac:dyDescent="0.25">
      <c r="A74" s="22" t="s">
        <v>167</v>
      </c>
      <c r="B74" s="22">
        <v>30</v>
      </c>
      <c r="C74" t="s">
        <v>3</v>
      </c>
      <c r="D74" s="22" t="s">
        <v>182</v>
      </c>
      <c r="E74" s="22">
        <v>3105</v>
      </c>
      <c r="F74" s="67" t="s">
        <v>1</v>
      </c>
    </row>
    <row r="75" spans="1:7" x14ac:dyDescent="0.25">
      <c r="A75" s="22" t="s">
        <v>173</v>
      </c>
      <c r="B75" s="22">
        <v>0</v>
      </c>
      <c r="C75" t="s">
        <v>4</v>
      </c>
    </row>
    <row r="76" spans="1:7" x14ac:dyDescent="0.25">
      <c r="A76" s="67" t="s">
        <v>170</v>
      </c>
    </row>
    <row r="77" spans="1:7" x14ac:dyDescent="0.25">
      <c r="A77" s="14" t="s">
        <v>138</v>
      </c>
      <c r="B77" s="14">
        <f>B68-2*E68</f>
        <v>2</v>
      </c>
      <c r="C77" t="s">
        <v>5</v>
      </c>
    </row>
    <row r="78" spans="1:7" x14ac:dyDescent="0.25">
      <c r="A78" s="14" t="s">
        <v>139</v>
      </c>
      <c r="B78" s="14">
        <f>B69-2*E69</f>
        <v>4</v>
      </c>
      <c r="C78" t="s">
        <v>5</v>
      </c>
    </row>
    <row r="79" spans="1:7" x14ac:dyDescent="0.25">
      <c r="A79" t="s">
        <v>163</v>
      </c>
      <c r="B79" t="s">
        <v>174</v>
      </c>
      <c r="D79" t="s">
        <v>179</v>
      </c>
      <c r="F79" t="s">
        <v>131</v>
      </c>
    </row>
    <row r="80" spans="1:7" x14ac:dyDescent="0.25">
      <c r="A80" t="s">
        <v>140</v>
      </c>
      <c r="B80" s="12">
        <v>30.1</v>
      </c>
      <c r="D80" s="77">
        <v>30.14</v>
      </c>
      <c r="F80" s="65">
        <f>(D80/B80)-1</f>
        <v>1.3289036544850141E-3</v>
      </c>
    </row>
    <row r="81" spans="1:6" x14ac:dyDescent="0.25">
      <c r="A81" t="s">
        <v>141</v>
      </c>
      <c r="B81" s="12">
        <v>18.399999999999999</v>
      </c>
      <c r="D81" s="8">
        <v>18.401</v>
      </c>
      <c r="F81" s="65">
        <f t="shared" ref="F81:F82" si="6">(D81/B81)-1</f>
        <v>5.434782608704225E-5</v>
      </c>
    </row>
    <row r="82" spans="1:6" x14ac:dyDescent="0.25">
      <c r="A82" t="s">
        <v>142</v>
      </c>
      <c r="B82" s="12">
        <v>18.100000000000001</v>
      </c>
      <c r="D82" s="8">
        <v>18.084</v>
      </c>
      <c r="F82" s="65">
        <f t="shared" si="6"/>
        <v>-8.8397790055261272E-4</v>
      </c>
    </row>
    <row r="83" spans="1:6" x14ac:dyDescent="0.25">
      <c r="A83" t="s">
        <v>162</v>
      </c>
      <c r="F83" s="65"/>
    </row>
    <row r="84" spans="1:6" x14ac:dyDescent="0.25">
      <c r="A84" t="s">
        <v>143</v>
      </c>
      <c r="B84" s="12">
        <v>1.31</v>
      </c>
      <c r="D84" s="8">
        <v>1.3049999999999999</v>
      </c>
      <c r="F84" s="65">
        <f t="shared" ref="F84:F86" si="7">(D84/B84)-1</f>
        <v>-3.8167938931298329E-3</v>
      </c>
    </row>
    <row r="85" spans="1:6" x14ac:dyDescent="0.25">
      <c r="A85" t="s">
        <v>144</v>
      </c>
      <c r="B85" s="12">
        <v>1.31</v>
      </c>
      <c r="D85" s="8">
        <v>1.2889999999999999</v>
      </c>
      <c r="F85" s="65">
        <f t="shared" si="7"/>
        <v>-1.6030534351145098E-2</v>
      </c>
    </row>
    <row r="86" spans="1:6" x14ac:dyDescent="0.25">
      <c r="A86" t="s">
        <v>145</v>
      </c>
      <c r="B86" s="12">
        <v>0.8</v>
      </c>
      <c r="D86" s="77">
        <v>0.8</v>
      </c>
      <c r="F86" s="65">
        <f t="shared" si="7"/>
        <v>0</v>
      </c>
    </row>
    <row r="87" spans="1:6" x14ac:dyDescent="0.25">
      <c r="A87" t="s">
        <v>161</v>
      </c>
      <c r="F87" s="65"/>
    </row>
    <row r="88" spans="1:6" x14ac:dyDescent="0.25">
      <c r="A88" t="s">
        <v>146</v>
      </c>
      <c r="B88" s="12">
        <v>1.1499999999999999</v>
      </c>
      <c r="D88" s="8">
        <v>1.153</v>
      </c>
      <c r="F88" s="65">
        <f t="shared" ref="F88:F90" si="8">(D88/B88)-1</f>
        <v>2.6086956521740312E-3</v>
      </c>
    </row>
    <row r="89" spans="1:6" x14ac:dyDescent="0.25">
      <c r="A89" t="s">
        <v>147</v>
      </c>
      <c r="B89" s="12">
        <v>1.1200000000000001</v>
      </c>
      <c r="D89" s="77">
        <v>1.1100000000000001</v>
      </c>
      <c r="F89" s="65">
        <f t="shared" si="8"/>
        <v>-8.9285714285713969E-3</v>
      </c>
    </row>
    <row r="90" spans="1:6" x14ac:dyDescent="0.25">
      <c r="A90" t="s">
        <v>148</v>
      </c>
      <c r="B90" s="12">
        <v>1</v>
      </c>
      <c r="D90" s="77">
        <v>1</v>
      </c>
      <c r="F90" s="65">
        <f t="shared" si="8"/>
        <v>0</v>
      </c>
    </row>
    <row r="91" spans="1:6" x14ac:dyDescent="0.25">
      <c r="A91" t="s">
        <v>164</v>
      </c>
      <c r="F91" s="65"/>
    </row>
    <row r="92" spans="1:6" x14ac:dyDescent="0.25">
      <c r="A92" t="s">
        <v>149</v>
      </c>
      <c r="B92" s="12">
        <v>0.79600000000000004</v>
      </c>
      <c r="D92" s="8">
        <v>0.79600000000000004</v>
      </c>
      <c r="F92" s="65">
        <f t="shared" ref="F92:F94" si="9">(D92/B92)-1</f>
        <v>0</v>
      </c>
    </row>
    <row r="93" spans="1:6" x14ac:dyDescent="0.25">
      <c r="A93" t="s">
        <v>150</v>
      </c>
      <c r="B93" s="12">
        <v>0.80700000000000005</v>
      </c>
      <c r="D93" s="8">
        <v>0.80700000000000005</v>
      </c>
      <c r="F93" s="65">
        <f t="shared" si="9"/>
        <v>0</v>
      </c>
    </row>
    <row r="94" spans="1:6" x14ac:dyDescent="0.25">
      <c r="A94" t="s">
        <v>151</v>
      </c>
      <c r="B94" s="12">
        <v>0.746</v>
      </c>
      <c r="D94" s="8">
        <v>0.746</v>
      </c>
      <c r="F94" s="65">
        <f t="shared" si="9"/>
        <v>0</v>
      </c>
    </row>
    <row r="95" spans="1:6" x14ac:dyDescent="0.25">
      <c r="A95" t="s">
        <v>165</v>
      </c>
      <c r="F95" s="65"/>
    </row>
    <row r="96" spans="1:6" x14ac:dyDescent="0.25">
      <c r="A96" t="s">
        <v>152</v>
      </c>
      <c r="B96" s="12">
        <v>0.97</v>
      </c>
      <c r="D96" s="8">
        <v>0.96599999999999997</v>
      </c>
      <c r="F96" s="65">
        <f t="shared" ref="F96:F98" si="10">(D96/B96)-1</f>
        <v>-4.1237113402061709E-3</v>
      </c>
    </row>
    <row r="97" spans="1:8" x14ac:dyDescent="0.25">
      <c r="A97" t="s">
        <v>153</v>
      </c>
      <c r="B97" s="12">
        <v>0.8</v>
      </c>
      <c r="D97" s="77">
        <v>0.8</v>
      </c>
      <c r="F97" s="65">
        <f t="shared" si="10"/>
        <v>0</v>
      </c>
    </row>
    <row r="98" spans="1:8" x14ac:dyDescent="0.25">
      <c r="A98" t="s">
        <v>154</v>
      </c>
      <c r="B98" s="12">
        <v>0.8</v>
      </c>
      <c r="D98" s="77">
        <v>0.8</v>
      </c>
      <c r="F98" s="65">
        <f t="shared" si="10"/>
        <v>0</v>
      </c>
    </row>
    <row r="99" spans="1:8" x14ac:dyDescent="0.25">
      <c r="A99" t="s">
        <v>166</v>
      </c>
      <c r="F99" s="65"/>
    </row>
    <row r="100" spans="1:8" x14ac:dyDescent="0.25">
      <c r="A100" t="s">
        <v>155</v>
      </c>
      <c r="B100" s="12">
        <v>0.93</v>
      </c>
      <c r="D100" s="8">
        <v>0.93200000000000005</v>
      </c>
      <c r="F100" s="65">
        <f t="shared" ref="F100:F102" si="11">(D100/B100)-1</f>
        <v>2.1505376344086446E-3</v>
      </c>
    </row>
    <row r="101" spans="1:8" x14ac:dyDescent="0.25">
      <c r="A101" t="s">
        <v>156</v>
      </c>
      <c r="B101" s="12">
        <v>0.82</v>
      </c>
      <c r="D101" s="8">
        <v>0.81699999999999995</v>
      </c>
      <c r="F101" s="65">
        <f t="shared" si="11"/>
        <v>-3.6585365853658569E-3</v>
      </c>
    </row>
    <row r="102" spans="1:8" x14ac:dyDescent="0.25">
      <c r="A102" t="s">
        <v>157</v>
      </c>
      <c r="B102" s="12">
        <v>0.76</v>
      </c>
      <c r="D102" s="8">
        <v>0.76200000000000001</v>
      </c>
      <c r="F102" s="65">
        <f t="shared" si="11"/>
        <v>2.6315789473683182E-3</v>
      </c>
    </row>
    <row r="103" spans="1:8" x14ac:dyDescent="0.25">
      <c r="D103" t="s">
        <v>180</v>
      </c>
      <c r="F103" t="s">
        <v>131</v>
      </c>
      <c r="H103" t="s">
        <v>181</v>
      </c>
    </row>
    <row r="104" spans="1:8" x14ac:dyDescent="0.25">
      <c r="A104" t="s">
        <v>177</v>
      </c>
      <c r="B104" s="71">
        <f>B80*B84*B88*B92*B96*B100*B70</f>
        <v>325.61423448539995</v>
      </c>
      <c r="C104" t="s">
        <v>4</v>
      </c>
      <c r="D104" s="71">
        <f>'complex sample cd=10'!D53</f>
        <v>325.98495396649639</v>
      </c>
      <c r="F104" s="65">
        <f>(D104/B104)-1</f>
        <v>1.1385235712508823E-3</v>
      </c>
      <c r="H104" s="65">
        <f>(1+F80)*(1+F84)*(1+F88)*(1+F92)*(1+F96)*(1+F100)-1</f>
        <v>-1.873028518402764E-3</v>
      </c>
    </row>
    <row r="105" spans="1:8" x14ac:dyDescent="0.25">
      <c r="A105" t="s">
        <v>175</v>
      </c>
      <c r="B105" s="71">
        <f>B81*B85*B89*B93*B97*B101*(B73*B72+B75)</f>
        <v>228.66752864256003</v>
      </c>
      <c r="C105" t="s">
        <v>4</v>
      </c>
      <c r="D105" s="71">
        <f>'complex sample cd=10'!D54</f>
        <v>219.88106188751257</v>
      </c>
      <c r="F105" s="65">
        <f>(D105/B105)-1</f>
        <v>-3.8424636883105379E-2</v>
      </c>
      <c r="H105" s="65">
        <f>(1+F81)*(1+F85)*(1+F89)*(1+F93)*(1+F97)*(1+F101)-1</f>
        <v>-2.8330917205484196E-2</v>
      </c>
    </row>
    <row r="106" spans="1:8" x14ac:dyDescent="0.25">
      <c r="A106" t="s">
        <v>176</v>
      </c>
      <c r="B106" s="71">
        <f>B82*B86*B90*B94*B98*B102*B77*0.5*B72</f>
        <v>131.35329280000005</v>
      </c>
      <c r="C106" t="s">
        <v>4</v>
      </c>
      <c r="D106" s="71">
        <f>'complex sample cd=10'!D55</f>
        <v>130.20104263713691</v>
      </c>
      <c r="F106" s="65">
        <f>(D106/B106)-1</f>
        <v>-8.7721452450953974E-3</v>
      </c>
      <c r="H106" s="65">
        <f>(1+F82)*(1+F86)*(1+F90)*(1+F94)*(1+F98)*(1+F102)-1</f>
        <v>1.745274789182627E-3</v>
      </c>
    </row>
    <row r="107" spans="1:8" x14ac:dyDescent="0.25">
      <c r="A107" t="s">
        <v>178</v>
      </c>
      <c r="B107" s="71">
        <f>SUM(B104:B106)</f>
        <v>685.63505592796002</v>
      </c>
      <c r="C107" t="s">
        <v>4</v>
      </c>
      <c r="D107" s="71">
        <f>'complex sample cd=10'!B34</f>
        <v>675.93139557212294</v>
      </c>
      <c r="F107" s="65">
        <f>(D107/B107)-1</f>
        <v>-1.4152806616201774E-2</v>
      </c>
    </row>
    <row r="108" spans="1:8" x14ac:dyDescent="0.25">
      <c r="A108" t="s">
        <v>62</v>
      </c>
      <c r="B108" s="72">
        <f>B107*B77*B78</f>
        <v>5485.0804474236802</v>
      </c>
      <c r="C108" t="s">
        <v>1</v>
      </c>
      <c r="D108" s="72">
        <f>'complex sample cd=10'!B31</f>
        <v>5407.4511645769835</v>
      </c>
      <c r="F108" s="65">
        <f>(D108/B108)-1</f>
        <v>-1.4152806616201774E-2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8"/>
  <sheetViews>
    <sheetView zoomScaleNormal="100" workbookViewId="0">
      <selection activeCell="E31" sqref="E3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2.5703125" customWidth="1"/>
    <col min="6" max="6" width="9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5" t="s">
        <v>187</v>
      </c>
      <c r="J1" t="s">
        <v>65</v>
      </c>
      <c r="R1" t="s">
        <v>66</v>
      </c>
    </row>
    <row r="2" spans="1:20" x14ac:dyDescent="0.25">
      <c r="A2" t="str">
        <f>IF(ABS(B34/310-1)&lt;1%,"Test erfüllt","Test nicht erfüllt")</f>
        <v>Test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(FS=2)</v>
      </c>
      <c r="R4" t="s">
        <v>47</v>
      </c>
      <c r="S4" t="s">
        <v>60</v>
      </c>
      <c r="T4">
        <v>1.35</v>
      </c>
    </row>
    <row r="5" spans="1:20" x14ac:dyDescent="0.25">
      <c r="A5" s="4" t="s">
        <v>15</v>
      </c>
      <c r="B5" s="64">
        <f>ATAN(TAN(36/180*PI())*1.2)*180/PI()</f>
        <v>41.083579372965538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49</v>
      </c>
      <c r="S5" t="s">
        <v>61</v>
      </c>
      <c r="T5">
        <v>1</v>
      </c>
    </row>
    <row r="6" spans="1:20" x14ac:dyDescent="0.25">
      <c r="A6" s="6" t="s">
        <v>17</v>
      </c>
      <c r="B6" s="2">
        <v>22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50</v>
      </c>
      <c r="T6">
        <v>0</v>
      </c>
    </row>
    <row r="7" spans="1:20" x14ac:dyDescent="0.25">
      <c r="J7">
        <v>0</v>
      </c>
      <c r="K7" s="1">
        <f>Grundbruch_Streifen($B$4,$B$5,$B$6,$B$17,$B$16,$B$9,J7,$F$15,$F$5,$F$10)</f>
        <v>526.86168296068615</v>
      </c>
      <c r="L7" s="1">
        <f>K7*TAN(J7/180*PI())</f>
        <v>0</v>
      </c>
      <c r="M7" s="1">
        <f>Grundbruch_Streifen($B$4*1.5,ATAN(TAN($B$5/180*PI())*1.2)*180/PI(),$B$6,$B$17,$B$16,$B$9,J7,$F$15,$F$5,$F$10)/$E$30</f>
        <v>574.16806025986625</v>
      </c>
      <c r="N7" s="1">
        <f>M7*TAN(J7/180*PI())</f>
        <v>0</v>
      </c>
    </row>
    <row r="8" spans="1:20" x14ac:dyDescent="0.25">
      <c r="A8" s="7" t="s">
        <v>109</v>
      </c>
      <c r="B8" s="8"/>
      <c r="C8" s="8"/>
      <c r="D8" s="8"/>
      <c r="E8" s="8"/>
      <c r="F8" s="8"/>
      <c r="G8" s="8"/>
      <c r="J8">
        <v>2.5</v>
      </c>
      <c r="K8" s="1">
        <f>Grundbruch_Streifen($B$4,$B$5,$B$6,$B$17,$B$16,$B$9,J8,$F$15,$F$5,$F$10)</f>
        <v>462.21111732511088</v>
      </c>
      <c r="L8" s="1">
        <f t="shared" ref="L8:L20" si="0">K8*TAN(J8/180*PI())</f>
        <v>20.180573205211235</v>
      </c>
      <c r="M8" s="1">
        <f>Grundbruch_Streifen($B$4*1.5,ATAN(TAN($B$5/180*PI())*1.2)*180/PI(),$B$6,$B$17,$B$16,$B$9,J8,$F$15,$F$5,$F$10)/$E$30</f>
        <v>502.61105259457361</v>
      </c>
      <c r="N8" s="1">
        <f>M8*TAN(J8/180*PI())</f>
        <v>21.944472472518829</v>
      </c>
    </row>
    <row r="9" spans="1:20" x14ac:dyDescent="0.25">
      <c r="A9" t="s">
        <v>86</v>
      </c>
      <c r="B9" s="2">
        <v>1</v>
      </c>
      <c r="C9" t="s">
        <v>5</v>
      </c>
      <c r="D9" t="s">
        <v>12</v>
      </c>
      <c r="J9">
        <v>5</v>
      </c>
      <c r="K9" s="1">
        <f>Grundbruch_Streifen($B$4,$B$5,$B$6,$B$17,$B$16,$B$9,J9,$F$15,$F$5,$F$10)</f>
        <v>404.03407041909543</v>
      </c>
      <c r="L9" s="1">
        <f t="shared" si="0"/>
        <v>35.348400839905729</v>
      </c>
      <c r="M9" s="1">
        <f>Grundbruch_Streifen($B$4*1.5,ATAN(TAN($B$5/180*PI())*1.2)*180/PI(),$B$6,$B$17,$B$16,$B$9,J9,$F$15,$F$5,$F$10)/$E$30</f>
        <v>438.33328537153386</v>
      </c>
      <c r="N9" s="1">
        <f t="shared" ref="N9:N21" si="1">M9*TAN(J9/180*PI())</f>
        <v>38.349193316082953</v>
      </c>
    </row>
    <row r="10" spans="1:20" x14ac:dyDescent="0.25">
      <c r="A10" t="s">
        <v>85</v>
      </c>
      <c r="B10" s="60" t="s">
        <v>116</v>
      </c>
      <c r="C10" t="s">
        <v>5</v>
      </c>
      <c r="D10" t="s">
        <v>124</v>
      </c>
      <c r="F10" s="2">
        <v>0</v>
      </c>
      <c r="G10" t="s">
        <v>3</v>
      </c>
      <c r="J10">
        <v>7.5</v>
      </c>
      <c r="K10" s="1">
        <f>Grundbruch_Streifen($B$4,$B$5,$B$6,$B$17,$B$16,$B$9,J10,$F$15,$F$5,$F$10)</f>
        <v>351.66230913449562</v>
      </c>
      <c r="L10" s="1">
        <f t="shared" si="0"/>
        <v>46.297221304907232</v>
      </c>
      <c r="M10" s="1">
        <f>Grundbruch_Streifen($B$4*1.5,ATAN(TAN($B$5/180*PI())*1.2)*180/PI(),$B$6,$B$17,$B$16,$B$9,J10,$F$15,$F$5,$F$10)/$E$30</f>
        <v>380.57905132954085</v>
      </c>
      <c r="N10" s="1">
        <f t="shared" si="1"/>
        <v>50.104182636975771</v>
      </c>
    </row>
    <row r="11" spans="1:20" x14ac:dyDescent="0.25">
      <c r="A11" t="s">
        <v>43</v>
      </c>
      <c r="B11">
        <v>0.85</v>
      </c>
      <c r="C11" t="s">
        <v>5</v>
      </c>
      <c r="J11">
        <v>10</v>
      </c>
      <c r="K11" s="1">
        <f>Grundbruch_Streifen($B$4,$B$5,$B$6,$B$17,$B$16,$B$9,J11,$F$15,$F$5,$F$10)</f>
        <v>304.52717115727052</v>
      </c>
      <c r="L11" s="1">
        <f t="shared" si="0"/>
        <v>53.696356633851451</v>
      </c>
      <c r="M11" s="1">
        <f>Grundbruch_Streifen($B$4*1.5,ATAN(TAN($B$5/180*PI())*1.2)*180/PI(),$B$6,$B$17,$B$16,$B$9,J11,$F$15,$F$5,$F$10)/$E$30</f>
        <v>328.70513505033523</v>
      </c>
      <c r="N11" s="1">
        <f t="shared" si="1"/>
        <v>57.959584006793833</v>
      </c>
    </row>
    <row r="12" spans="1:20" x14ac:dyDescent="0.25">
      <c r="J12">
        <v>12.5</v>
      </c>
      <c r="K12" s="1">
        <f>Grundbruch_Streifen($B$4,$B$5,$B$6,$B$17,$B$16,$B$9,J12,$F$15,$F$5,$F$10)</f>
        <v>262.14315227700996</v>
      </c>
      <c r="L12" s="1">
        <f t="shared" si="0"/>
        <v>58.115737708208542</v>
      </c>
      <c r="M12" s="1">
        <f>Grundbruch_Streifen($B$4*1.5,ATAN(TAN($B$5/180*PI())*1.2)*180/PI(),$B$6,$B$17,$B$16,$B$9,J12,$F$15,$F$5,$F$10)/$E$30</f>
        <v>282.1621410235793</v>
      </c>
      <c r="N12" s="1">
        <f t="shared" si="1"/>
        <v>62.553840664832038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>Grundbruch_Streifen($B$4,$B$5,$B$6,$B$17,$B$16,$B$9,J13,$F$15,$F$5,$F$10)</f>
        <v>224.09438172446065</v>
      </c>
      <c r="L13" s="1">
        <f t="shared" si="0"/>
        <v>60.04590861142097</v>
      </c>
      <c r="M13" s="1">
        <f>Grundbruch_Streifen($B$4*1.5,ATAN(TAN($B$5/180*PI())*1.2)*180/PI(),$B$6,$B$17,$B$16,$B$9,J13,$F$15,$F$5,$F$10)/$E$30</f>
        <v>240.47909896743269</v>
      </c>
      <c r="N13" s="1">
        <f t="shared" si="1"/>
        <v>64.436180364887619</v>
      </c>
    </row>
    <row r="14" spans="1:20" x14ac:dyDescent="0.25">
      <c r="A14" s="20" t="s">
        <v>18</v>
      </c>
      <c r="D14" t="s">
        <v>12</v>
      </c>
      <c r="J14">
        <v>17.5</v>
      </c>
      <c r="K14" s="1">
        <f>Grundbruch_Streifen($B$4,$B$5,$B$6,$B$17,$B$16,$B$9,J14,$F$15,$F$5,$F$10)</f>
        <v>190.02332759660439</v>
      </c>
      <c r="L14" s="1">
        <f t="shared" si="0"/>
        <v>59.914125049963687</v>
      </c>
      <c r="M14" s="1">
        <f>Grundbruch_Streifen($B$4*1.5,ATAN(TAN($B$5/180*PI())*1.2)*180/PI(),$B$6,$B$17,$B$16,$B$9,J14,$F$15,$F$5,$F$10)/$E$30</f>
        <v>203.25059692143643</v>
      </c>
      <c r="N14" s="1">
        <f t="shared" si="1"/>
        <v>64.084667048259362</v>
      </c>
    </row>
    <row r="15" spans="1:20" x14ac:dyDescent="0.25">
      <c r="A15" t="s">
        <v>88</v>
      </c>
      <c r="B15" s="2">
        <f>0.5*B6</f>
        <v>11</v>
      </c>
      <c r="C15" t="s">
        <v>4</v>
      </c>
      <c r="D15" t="s">
        <v>54</v>
      </c>
      <c r="F15" s="35">
        <f>IFERROR(F23/F26,0)</f>
        <v>0.16</v>
      </c>
      <c r="G15" t="s">
        <v>5</v>
      </c>
      <c r="J15">
        <v>20</v>
      </c>
      <c r="K15" s="1">
        <f>Grundbruch_Streifen($B$4,$B$5,$B$6,$B$17,$B$16,$B$9,J15,$F$15,$F$5,$F$10)</f>
        <v>159.62120433263641</v>
      </c>
      <c r="L15" s="1">
        <f t="shared" si="0"/>
        <v>58.097367134803029</v>
      </c>
      <c r="M15" s="1">
        <f>Grundbruch_Streifen($B$4*1.5,ATAN(TAN($B$5/180*PI())*1.2)*180/PI(),$B$6,$B$17,$B$16,$B$9,J15,$F$15,$F$5,$F$10)/$E$30</f>
        <v>170.1258411404088</v>
      </c>
      <c r="N15" s="1">
        <f t="shared" si="1"/>
        <v>61.920742254609316</v>
      </c>
    </row>
    <row r="16" spans="1:20" x14ac:dyDescent="0.25">
      <c r="A16" t="s">
        <v>87</v>
      </c>
      <c r="B16" s="2">
        <v>0</v>
      </c>
      <c r="C16" t="s">
        <v>5</v>
      </c>
      <c r="D16" t="s">
        <v>53</v>
      </c>
      <c r="F16" s="59" t="s">
        <v>117</v>
      </c>
      <c r="J16">
        <v>22.5</v>
      </c>
      <c r="K16" s="1">
        <f>Grundbruch_Streifen($B$4,$B$5,$B$6,$B$17,$B$16,$B$9,J16,$F$15,$F$5,$F$10)</f>
        <v>132.61964860322502</v>
      </c>
      <c r="L16" s="1">
        <f t="shared" si="0"/>
        <v>54.932857088609893</v>
      </c>
      <c r="M16" s="1">
        <f>Grundbruch_Streifen($B$4*1.5,ATAN(TAN($B$5/180*PI())*1.2)*180/PI(),$B$6,$B$17,$B$16,$B$9,J16,$F$15,$F$5,$F$10)/$E$30</f>
        <v>140.79915013597429</v>
      </c>
      <c r="N16" s="1">
        <f t="shared" si="1"/>
        <v>58.320917556926155</v>
      </c>
    </row>
    <row r="17" spans="1:14" x14ac:dyDescent="0.25">
      <c r="A17" t="s">
        <v>89</v>
      </c>
      <c r="B17" s="5">
        <f>B15+B6*B16</f>
        <v>11</v>
      </c>
      <c r="C17" t="s">
        <v>4</v>
      </c>
      <c r="D17" t="s">
        <v>55</v>
      </c>
      <c r="F17" s="36">
        <f>IFERROR(ATAN(F27/F26)*180/PI(),0)</f>
        <v>16</v>
      </c>
      <c r="G17" t="s">
        <v>3</v>
      </c>
      <c r="J17">
        <v>25</v>
      </c>
      <c r="K17" s="1">
        <f>Grundbruch_Streifen($B$4,$B$5,$B$6,$B$17,$B$16,$B$9,J17,$F$15,$F$5,$F$10)</f>
        <v>108.78329833148406</v>
      </c>
      <c r="L17" s="1">
        <f t="shared" si="0"/>
        <v>50.7264850913309</v>
      </c>
      <c r="M17" s="1">
        <f>Grundbruch_Streifen($B$4*1.5,ATAN(TAN($B$5/180*PI())*1.2)*180/PI(),$B$6,$B$17,$B$16,$B$9,J17,$F$15,$F$5,$F$10)/$E$30</f>
        <v>115.00146934215391</v>
      </c>
      <c r="N17" s="1">
        <f t="shared" si="1"/>
        <v>53.626065853323652</v>
      </c>
    </row>
    <row r="18" spans="1:14" x14ac:dyDescent="0.25">
      <c r="D18" t="s">
        <v>20</v>
      </c>
      <c r="F18" s="37">
        <v>150</v>
      </c>
      <c r="G18" t="s">
        <v>19</v>
      </c>
      <c r="J18">
        <v>30</v>
      </c>
      <c r="K18" s="1">
        <f>Grundbruch_Streifen($B$4,$B$5,$B$6,$B$17,$B$16,$B$9,J18,$F$15,$F$5,$F$10)</f>
        <v>69.789088663232761</v>
      </c>
      <c r="L18" s="1">
        <f t="shared" si="0"/>
        <v>40.292749126216094</v>
      </c>
      <c r="M18" s="1">
        <f>Grundbruch_Streifen($B$4*1.5,ATAN(TAN($B$5/180*PI())*1.2)*180/PI(),$B$6,$B$17,$B$16,$B$9,J18,$F$15,$F$5,$F$10)/$E$30</f>
        <v>73.053503212039814</v>
      </c>
      <c r="N18" s="1">
        <f t="shared" si="1"/>
        <v>42.177459744716373</v>
      </c>
    </row>
    <row r="19" spans="1:14" x14ac:dyDescent="0.25">
      <c r="J19">
        <v>35</v>
      </c>
      <c r="K19" s="1">
        <f>Grundbruch_Streifen($B$4,$B$5,$B$6,$B$17,$B$16,$B$9,J19,$F$15,$F$5,$F$10)</f>
        <v>41.162077053639827</v>
      </c>
      <c r="L19" s="1">
        <f t="shared" si="0"/>
        <v>28.821996641327523</v>
      </c>
      <c r="M19" s="1">
        <f>Grundbruch_Streifen($B$4*1.5,ATAN(TAN($B$5/180*PI())*1.2)*180/PI(),$B$6,$B$17,$B$16,$B$9,J19,$F$15,$F$5,$F$10)/$E$30</f>
        <v>42.572015547264357</v>
      </c>
      <c r="N19" s="1">
        <f t="shared" si="1"/>
        <v>29.809246202975462</v>
      </c>
    </row>
    <row r="20" spans="1:14" x14ac:dyDescent="0.25">
      <c r="A20" s="20" t="s">
        <v>46</v>
      </c>
      <c r="D20" s="20" t="s">
        <v>52</v>
      </c>
      <c r="J20">
        <v>40</v>
      </c>
      <c r="K20" s="1">
        <f>Grundbruch_Streifen($B$4,$B$5,$B$6,$B$17,$B$16,$B$9,J20,$F$15,$F$5,$F$10)</f>
        <v>21.531211985664157</v>
      </c>
      <c r="L20" s="1">
        <f t="shared" si="0"/>
        <v>18.066832035970624</v>
      </c>
      <c r="M20" s="1">
        <f>Grundbruch_Streifen($B$4*1.5,ATAN(TAN($B$5/180*PI())*1.2)*180/PI(),$B$6,$B$17,$B$16,$B$9,J20,$F$15,$F$5,$F$10)/$E$30</f>
        <v>21.951536006660344</v>
      </c>
      <c r="N20" s="1">
        <f t="shared" si="1"/>
        <v>18.419525766963474</v>
      </c>
    </row>
    <row r="21" spans="1:14" x14ac:dyDescent="0.25">
      <c r="A21" t="s">
        <v>51</v>
      </c>
      <c r="B21" s="39" t="s">
        <v>49</v>
      </c>
      <c r="E21" t="s">
        <v>75</v>
      </c>
      <c r="F21" s="34">
        <v>47.1</v>
      </c>
      <c r="G21" t="s">
        <v>19</v>
      </c>
      <c r="J21">
        <v>90</v>
      </c>
      <c r="K21" s="1">
        <v>0</v>
      </c>
      <c r="L21">
        <v>0</v>
      </c>
      <c r="M21" s="15"/>
      <c r="N21" s="1">
        <f t="shared" si="1"/>
        <v>0</v>
      </c>
    </row>
    <row r="22" spans="1:14" x14ac:dyDescent="0.25">
      <c r="A22" t="s">
        <v>82</v>
      </c>
      <c r="B22" s="19">
        <f>(1+SIN(B5/180*PI()))/(1-SIN(B5/180*PI()))-0*(1-SIN(B5/180*PI()))/(1+SIN(B5/180*PI()))</f>
        <v>4.8336122877635743</v>
      </c>
      <c r="E22" t="s">
        <v>76</v>
      </c>
      <c r="F22" s="63">
        <f>F21*TAN(16/180*PI())</f>
        <v>13.505707669239854</v>
      </c>
      <c r="G22" t="s">
        <v>19</v>
      </c>
    </row>
    <row r="23" spans="1:14" x14ac:dyDescent="0.25">
      <c r="A23" t="s">
        <v>83</v>
      </c>
      <c r="B23" s="15">
        <f>IF(B21="ja",0.5*B16*B16*B6*B22,0)/1.4</f>
        <v>0</v>
      </c>
      <c r="C23" t="s">
        <v>19</v>
      </c>
      <c r="E23" t="s">
        <v>57</v>
      </c>
      <c r="F23" s="34">
        <f>0.16*F21</f>
        <v>7.5360000000000005</v>
      </c>
      <c r="G23" t="s">
        <v>115</v>
      </c>
      <c r="K23" s="1"/>
      <c r="L23" s="1"/>
    </row>
    <row r="24" spans="1:14" x14ac:dyDescent="0.25">
      <c r="A24" s="20" t="s">
        <v>44</v>
      </c>
    </row>
    <row r="25" spans="1:14" x14ac:dyDescent="0.25">
      <c r="A25" t="s">
        <v>51</v>
      </c>
      <c r="B25" s="39" t="s">
        <v>50</v>
      </c>
      <c r="D25" s="20" t="s">
        <v>64</v>
      </c>
      <c r="J25" t="s">
        <v>32</v>
      </c>
    </row>
    <row r="26" spans="1:14" x14ac:dyDescent="0.25">
      <c r="A26" t="s">
        <v>48</v>
      </c>
      <c r="B26" s="1">
        <f>VLOOKUP(B25,S4:T6,2,FALSE)*B9*B11*25</f>
        <v>0</v>
      </c>
      <c r="C26" t="s">
        <v>19</v>
      </c>
      <c r="E26" t="s">
        <v>81</v>
      </c>
      <c r="F26" s="15">
        <f>F21+B26</f>
        <v>47.1</v>
      </c>
      <c r="G26" t="s">
        <v>19</v>
      </c>
      <c r="J26" t="s">
        <v>35</v>
      </c>
    </row>
    <row r="27" spans="1:14" x14ac:dyDescent="0.25">
      <c r="E27" t="s">
        <v>56</v>
      </c>
      <c r="F27" s="15">
        <f>F22-IF(B23&lt;F22,B23,F22)</f>
        <v>13.505707669239854</v>
      </c>
      <c r="G27" t="s">
        <v>19</v>
      </c>
      <c r="K27" t="s">
        <v>33</v>
      </c>
      <c r="L27" t="s">
        <v>36</v>
      </c>
    </row>
    <row r="28" spans="1:14" x14ac:dyDescent="0.25">
      <c r="A28" s="13" t="s">
        <v>62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0</v>
      </c>
    </row>
    <row r="30" spans="1:14" x14ac:dyDescent="0.25">
      <c r="A30" t="s">
        <v>72</v>
      </c>
      <c r="D30" s="28" t="s">
        <v>45</v>
      </c>
      <c r="E30" s="29">
        <v>2</v>
      </c>
      <c r="F30" s="26"/>
      <c r="K30" s="15">
        <f>K29</f>
        <v>0.5</v>
      </c>
      <c r="L30">
        <f>B11/B9+L28</f>
        <v>0.85</v>
      </c>
    </row>
    <row r="31" spans="1:14" x14ac:dyDescent="0.25">
      <c r="A31" t="s">
        <v>78</v>
      </c>
      <c r="B31" s="38">
        <f>Grundbruch_Streifen(B4,B5,B6,B17,B16,B9,F17,F15,F5,F10)</f>
        <v>210.00692348671302</v>
      </c>
      <c r="C31" t="s">
        <v>19</v>
      </c>
      <c r="D31" s="26" t="s">
        <v>80</v>
      </c>
      <c r="E31" s="27">
        <f>Grundbruch_Streifen(B4*1.5,ATAN(TAN(B5/180*PI())*1.2)*180/PI(),B6,B17,B16,B9,F17,F15,F5,F10)</f>
        <v>450.1478267200053</v>
      </c>
      <c r="F31" s="26" t="s">
        <v>19</v>
      </c>
      <c r="K31" s="15">
        <f>K28</f>
        <v>-0.5</v>
      </c>
      <c r="L31">
        <f>L30</f>
        <v>0.85</v>
      </c>
    </row>
    <row r="32" spans="1:14" x14ac:dyDescent="0.25">
      <c r="A32" t="s">
        <v>7</v>
      </c>
      <c r="B32" s="38">
        <f>B31*TAN(F17/180*PI())</f>
        <v>60.218516287217987</v>
      </c>
      <c r="C32" t="s">
        <v>19</v>
      </c>
      <c r="D32" s="26" t="s">
        <v>26</v>
      </c>
      <c r="E32" s="27">
        <f>E31*TAN(F17/180*PI())</f>
        <v>129.07781222131695</v>
      </c>
      <c r="F32" s="26" t="s">
        <v>19</v>
      </c>
      <c r="K32" s="15">
        <f>K28</f>
        <v>-0.5</v>
      </c>
      <c r="L32">
        <f>L28</f>
        <v>0</v>
      </c>
    </row>
    <row r="33" spans="1:12" x14ac:dyDescent="0.25">
      <c r="A33" t="s">
        <v>71</v>
      </c>
      <c r="D33" s="26" t="s">
        <v>71</v>
      </c>
      <c r="E33" s="26"/>
      <c r="F33" s="26"/>
    </row>
    <row r="34" spans="1:12" x14ac:dyDescent="0.25">
      <c r="A34" s="16" t="s">
        <v>28</v>
      </c>
      <c r="B34" s="15">
        <f>B31/((B9-2*F15))</f>
        <v>308.8337110098721</v>
      </c>
      <c r="C34" t="s">
        <v>4</v>
      </c>
      <c r="D34" s="30" t="s">
        <v>73</v>
      </c>
      <c r="E34" s="31">
        <f>E31/(B9-2*F15)/E30</f>
        <v>330.99104905882746</v>
      </c>
      <c r="F34" s="32" t="s">
        <v>4</v>
      </c>
      <c r="J34" t="s">
        <v>38</v>
      </c>
      <c r="K34">
        <f>(1/2-2*F15/B9)</f>
        <v>0.18</v>
      </c>
      <c r="L34">
        <f>-(1-2*F15/B9)*TAN(F10/180*PI())</f>
        <v>0</v>
      </c>
    </row>
    <row r="35" spans="1:12" x14ac:dyDescent="0.25">
      <c r="D35" s="33" t="s">
        <v>74</v>
      </c>
      <c r="E35" s="31">
        <f>F26/((B9-2*F15))</f>
        <v>69.264705882352956</v>
      </c>
      <c r="F35" s="32" t="s">
        <v>4</v>
      </c>
      <c r="K35">
        <f>K34</f>
        <v>0.18</v>
      </c>
      <c r="L35">
        <f>B11/B9</f>
        <v>0.85</v>
      </c>
    </row>
    <row r="36" spans="1:12" x14ac:dyDescent="0.25">
      <c r="A36" s="21" t="s">
        <v>79</v>
      </c>
      <c r="B36" s="21"/>
      <c r="C36" s="21"/>
      <c r="D36" s="21"/>
      <c r="E36" s="21"/>
      <c r="F36" s="21"/>
      <c r="G36" s="21"/>
    </row>
    <row r="37" spans="1:12" x14ac:dyDescent="0.25">
      <c r="A37" s="40" t="s">
        <v>107</v>
      </c>
      <c r="B37" s="41"/>
      <c r="C37" s="41"/>
      <c r="D37" s="41"/>
      <c r="E37" s="41"/>
      <c r="F37" s="41"/>
      <c r="G37" s="42"/>
      <c r="J37" t="s">
        <v>34</v>
      </c>
      <c r="K37" t="s">
        <v>33</v>
      </c>
      <c r="L37" t="s">
        <v>36</v>
      </c>
    </row>
    <row r="38" spans="1:12" x14ac:dyDescent="0.25">
      <c r="A38" s="43" t="s">
        <v>68</v>
      </c>
      <c r="B38" s="44">
        <f>F26</f>
        <v>47.1</v>
      </c>
      <c r="C38" s="45" t="s">
        <v>19</v>
      </c>
      <c r="D38" s="46" t="str">
        <f>IF(B38&lt;F38,"&lt;=","&gt;")</f>
        <v>&lt;=</v>
      </c>
      <c r="E38" s="47" t="s">
        <v>67</v>
      </c>
      <c r="F38" s="44">
        <f>(B31^2+B32^2)^0.5*COS((F10-F17)/180*PI())</f>
        <v>210.00692348671302</v>
      </c>
      <c r="G38" s="48" t="s">
        <v>19</v>
      </c>
      <c r="J38" t="s">
        <v>37</v>
      </c>
      <c r="K38">
        <f>(1/2-F15/B9)-1/2</f>
        <v>-0.16000000000000003</v>
      </c>
      <c r="L38">
        <f>-(1/2-F15/B9)*TAN(F10/180*PI())</f>
        <v>0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0.11563735581699913</v>
      </c>
      <c r="L39">
        <f>L38+COS(F17/180*PI())</f>
        <v>0.96126169593831889</v>
      </c>
    </row>
    <row r="40" spans="1:12" x14ac:dyDescent="0.25">
      <c r="A40" s="40" t="s">
        <v>106</v>
      </c>
      <c r="B40" s="41"/>
      <c r="C40" s="41"/>
      <c r="D40" s="41"/>
      <c r="E40" s="41"/>
      <c r="F40" s="41"/>
      <c r="G40" s="42"/>
    </row>
    <row r="41" spans="1:12" x14ac:dyDescent="0.25">
      <c r="A41" s="61" t="s">
        <v>122</v>
      </c>
      <c r="B41" s="62">
        <f>F26</f>
        <v>47.1</v>
      </c>
      <c r="C41" t="s">
        <v>1</v>
      </c>
      <c r="D41" t="s">
        <v>6</v>
      </c>
      <c r="F41" s="15">
        <f>IFERROR(ATAN(B42/B41)*180/PI(),0)</f>
        <v>16</v>
      </c>
      <c r="G41" s="48" t="s">
        <v>3</v>
      </c>
      <c r="J41" t="s">
        <v>39</v>
      </c>
      <c r="K41" s="15">
        <f>K28</f>
        <v>-0.5</v>
      </c>
      <c r="L41">
        <f>B16/B9+L28</f>
        <v>0</v>
      </c>
    </row>
    <row r="42" spans="1:12" x14ac:dyDescent="0.25">
      <c r="A42" s="45" t="s">
        <v>123</v>
      </c>
      <c r="B42" s="15">
        <f>F22</f>
        <v>13.505707669239854</v>
      </c>
      <c r="C42" t="s">
        <v>1</v>
      </c>
      <c r="D42" t="s">
        <v>124</v>
      </c>
      <c r="E42" s="45"/>
      <c r="F42" s="62">
        <f>F10</f>
        <v>0</v>
      </c>
      <c r="G42" s="48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77</v>
      </c>
      <c r="B43" s="25">
        <f>2/3</f>
        <v>0.66666666666666663</v>
      </c>
      <c r="C43" s="24" t="str">
        <f>"*φd= "&amp;ROUND(B43*ATAN(TAN(B5/180*PI())/1.2)*180/PI(),1)&amp;"° und c' = 0 kPa)"</f>
        <v>*φd= 24° und c' = 0 kPa)</v>
      </c>
      <c r="G43" s="53"/>
    </row>
    <row r="44" spans="1:12" x14ac:dyDescent="0.25">
      <c r="A44" s="43" t="s">
        <v>118</v>
      </c>
      <c r="B44" s="52">
        <f>(B41^2+B42^2)^0.5*SIN((F41-F42)/180*PI())</f>
        <v>13.505707669239854</v>
      </c>
      <c r="C44" s="45" t="s">
        <v>19</v>
      </c>
      <c r="D44" s="46" t="str">
        <f>IF(B44&lt;=F44,"&lt;=","&gt;")</f>
        <v>&lt;=</v>
      </c>
      <c r="E44" s="46" t="s">
        <v>119</v>
      </c>
      <c r="F44" s="44">
        <f>F18*COS((F41-F42)/180*PI())*TAN(MIN(35/180*PI(),ATAN(TAN(B5/180*PI())/1.2)*B43))+B23</f>
        <v>64.19719216801073</v>
      </c>
      <c r="G44" s="53" t="s">
        <v>19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113</v>
      </c>
    </row>
    <row r="48" spans="1:12" ht="18" x14ac:dyDescent="0.35">
      <c r="C48" s="56"/>
      <c r="D48" s="22" t="s">
        <v>121</v>
      </c>
      <c r="E48" s="46" t="s">
        <v>110</v>
      </c>
      <c r="F48" s="54">
        <f>1/3</f>
        <v>0.33333333333333331</v>
      </c>
    </row>
    <row r="49" spans="1:12" x14ac:dyDescent="0.25">
      <c r="C49" s="56"/>
      <c r="D49" s="58">
        <f>(F15/B9)^2</f>
        <v>2.5600000000000001E-2</v>
      </c>
      <c r="E49" s="57" t="str">
        <f>IF(D49&lt;1/100,"&lt;1/100","= 1/"&amp;ROUND(1/(D49),1))&amp;" "&amp;IF(D49&gt;F49,"&gt;","&lt;=")</f>
        <v>= 1/39.1 &lt;=</v>
      </c>
      <c r="F49" s="54">
        <f>F48</f>
        <v>0.33333333333333331</v>
      </c>
      <c r="J49" t="s">
        <v>90</v>
      </c>
    </row>
    <row r="50" spans="1:12" x14ac:dyDescent="0.25">
      <c r="A50" t="s">
        <v>105</v>
      </c>
      <c r="J50" t="s">
        <v>91</v>
      </c>
    </row>
    <row r="51" spans="1:12" x14ac:dyDescent="0.25">
      <c r="J51" t="s">
        <v>95</v>
      </c>
      <c r="L51" t="s">
        <v>96</v>
      </c>
    </row>
    <row r="52" spans="1:12" x14ac:dyDescent="0.25">
      <c r="A52" t="s">
        <v>40</v>
      </c>
      <c r="D52" t="s">
        <v>70</v>
      </c>
      <c r="J52" t="s">
        <v>92</v>
      </c>
      <c r="L52" t="s">
        <v>97</v>
      </c>
    </row>
    <row r="53" spans="1:12" x14ac:dyDescent="0.25">
      <c r="A53" t="s">
        <v>42</v>
      </c>
      <c r="C53" s="17">
        <f>1-Grundbruch_Streifen(0,B5,B6,B17,B16,B9,F17,F15,F5,F10)/Grundbruch_Streifen(B4,B5,B6,B17,B16,B9,F17,F15,F5,F10)</f>
        <v>0</v>
      </c>
      <c r="D53" s="15">
        <f>$B$34*C53</f>
        <v>0</v>
      </c>
      <c r="E53" t="s">
        <v>4</v>
      </c>
      <c r="J53" t="s">
        <v>93</v>
      </c>
      <c r="L53" t="s">
        <v>98</v>
      </c>
    </row>
    <row r="54" spans="1:12" x14ac:dyDescent="0.25">
      <c r="A54" t="s">
        <v>41</v>
      </c>
      <c r="C54" s="17">
        <f>1-Grundbruch_Streifen(B4,B5,B6,0,B16,B9,F17,F15,F5,F10)/Grundbruch_Streifen(B4,B5,B6,B17,B16,B9,F17,F15,F5,F10)</f>
        <v>0.62025923803172534</v>
      </c>
      <c r="D54" s="15">
        <f>$B$34*C54</f>
        <v>191.55696226949334</v>
      </c>
      <c r="E54" t="s">
        <v>4</v>
      </c>
      <c r="J54" t="s">
        <v>94</v>
      </c>
      <c r="L54" t="s">
        <v>99</v>
      </c>
    </row>
    <row r="55" spans="1:12" x14ac:dyDescent="0.25">
      <c r="A55" t="s">
        <v>63</v>
      </c>
      <c r="C55" s="17">
        <f>1-Grundbruch_Streifen(B4,B5,0,B17,B16,B9,F17,F15,F5,F10)/Grundbruch_Streifen(B4,B5,B6,B17,B16,B9,F17,F15,F5,F10)</f>
        <v>0.37974076196827478</v>
      </c>
      <c r="D55" s="15">
        <f>$B$34*C55</f>
        <v>117.27674874037881</v>
      </c>
      <c r="E55" t="s">
        <v>4</v>
      </c>
    </row>
    <row r="56" spans="1:12" x14ac:dyDescent="0.25">
      <c r="A56" t="s">
        <v>69</v>
      </c>
      <c r="C56" s="23">
        <f>SUM(C53:C55)</f>
        <v>1</v>
      </c>
      <c r="D56" s="15">
        <f>$B$34*C56</f>
        <v>308.8337110098721</v>
      </c>
      <c r="E56" t="s">
        <v>84</v>
      </c>
      <c r="J56" t="s">
        <v>100</v>
      </c>
    </row>
    <row r="57" spans="1:12" x14ac:dyDescent="0.25">
      <c r="J57" t="s">
        <v>95</v>
      </c>
      <c r="K57" t="s">
        <v>101</v>
      </c>
      <c r="L57" t="s">
        <v>96</v>
      </c>
    </row>
    <row r="58" spans="1:12" x14ac:dyDescent="0.25">
      <c r="J58" t="s">
        <v>103</v>
      </c>
      <c r="K58" t="s">
        <v>102</v>
      </c>
      <c r="L58" t="s">
        <v>104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T59"/>
  <sheetViews>
    <sheetView zoomScaleNormal="100" workbookViewId="0">
      <selection activeCell="B32" sqref="B32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1.28515625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5" t="s">
        <v>114</v>
      </c>
      <c r="J1" t="s">
        <v>65</v>
      </c>
      <c r="R1" t="s">
        <v>66</v>
      </c>
    </row>
    <row r="2" spans="1:20" x14ac:dyDescent="0.25">
      <c r="A2" t="str">
        <f>IF(ABS(B34/404.3-1)&lt;1%,"Test erfüllt","Test nicht erfüllt")</f>
        <v>Test nicht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15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(FS=2)</v>
      </c>
      <c r="R4" t="s">
        <v>47</v>
      </c>
      <c r="S4" t="s">
        <v>60</v>
      </c>
      <c r="T4">
        <v>1.35</v>
      </c>
    </row>
    <row r="5" spans="1:20" x14ac:dyDescent="0.25">
      <c r="A5" s="4" t="s">
        <v>15</v>
      </c>
      <c r="B5" s="64">
        <f>ATAN(TAN(30/180*PI())*1.2)*180/PI()</f>
        <v>34.715003953948212</v>
      </c>
      <c r="C5" t="s">
        <v>3</v>
      </c>
      <c r="D5" t="s">
        <v>14</v>
      </c>
      <c r="F5" s="2">
        <v>5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125</v>
      </c>
      <c r="S5" t="s">
        <v>61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50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Grundbruch_Rechteck($B$4,$B$5,$B$6,$B$17,$B$16,$B$9,$B$10,J7,$F$15,$F$16,$F$5,$F$10)</f>
        <v>10859.479515252271</v>
      </c>
      <c r="L7" s="1">
        <f>K7*TAN(J7/180*PI())</f>
        <v>0</v>
      </c>
      <c r="M7" s="1">
        <f>Grundbruch_Rechteck($B$4*1.5,ATAN(TAN($B$5/180*PI())*1.2)*180/PI(),$B$6,$B$17,$B$16,$B$9,$B$10,J7,$F$15,$F$16,$F$5,$F$10)/$E$30</f>
        <v>11256.150176082707</v>
      </c>
      <c r="N7" s="1">
        <f>M7*TAN(J7/180*PI())</f>
        <v>0</v>
      </c>
    </row>
    <row r="8" spans="1:20" x14ac:dyDescent="0.25">
      <c r="A8" s="7" t="s">
        <v>109</v>
      </c>
      <c r="B8" s="8"/>
      <c r="C8" s="8"/>
      <c r="D8" s="8"/>
      <c r="E8" s="8"/>
      <c r="F8" s="8"/>
      <c r="G8" s="8"/>
      <c r="J8">
        <v>2.5</v>
      </c>
      <c r="K8" s="1">
        <f>Grundbruch_Rechteck($B$4,$B$5,$B$6,$B$17,$B$16,$B$9,$B$10,J8,$F$15,$F$16,$F$5,$F$10)</f>
        <v>9706.652904722725</v>
      </c>
      <c r="L8" s="1">
        <f t="shared" ref="L8:L20" si="0">K8*TAN(J8/180*PI())</f>
        <v>423.80161830584166</v>
      </c>
      <c r="M8" s="1">
        <f>Grundbruch_Rechteck($B$4*1.5,ATAN(TAN($B$5/180*PI())*1.2)*180/PI(),$B$6,$B$17,$B$16,$B$9,$B$10,J8,$F$15,$F$16,$F$5,$F$10)/$E$30</f>
        <v>10066.124028368204</v>
      </c>
      <c r="N8" s="1">
        <f>M8*TAN(J8/180*PI())</f>
        <v>439.49646651258553</v>
      </c>
    </row>
    <row r="9" spans="1:20" x14ac:dyDescent="0.25">
      <c r="A9" t="s">
        <v>86</v>
      </c>
      <c r="B9" s="2">
        <v>2.5</v>
      </c>
      <c r="C9" t="s">
        <v>5</v>
      </c>
      <c r="D9" t="s">
        <v>12</v>
      </c>
      <c r="J9">
        <v>5</v>
      </c>
      <c r="K9" s="1">
        <f>Grundbruch_Rechteck($B$4,$B$5,$B$6,$B$17,$B$16,$B$9,$B$10,J9,$F$15,$F$16,$F$5,$F$10)</f>
        <v>8667.4286459022878</v>
      </c>
      <c r="L9" s="1">
        <f t="shared" si="0"/>
        <v>758.30174843630039</v>
      </c>
      <c r="M9" s="1">
        <f>Grundbruch_Rechteck($B$4*1.5,ATAN(TAN($B$5/180*PI())*1.2)*180/PI(),$B$6,$B$17,$B$16,$B$9,$B$10,J9,$F$15,$F$16,$F$5,$F$10)/$E$30</f>
        <v>8992.6267832780431</v>
      </c>
      <c r="N9" s="1">
        <f t="shared" ref="N9:N21" si="1">M9*TAN(J9/180*PI())</f>
        <v>786.75289885642508</v>
      </c>
    </row>
    <row r="10" spans="1:20" x14ac:dyDescent="0.25">
      <c r="A10" t="s">
        <v>85</v>
      </c>
      <c r="B10" s="2">
        <v>4.5</v>
      </c>
      <c r="C10" t="s">
        <v>5</v>
      </c>
      <c r="D10" t="s">
        <v>124</v>
      </c>
      <c r="F10" s="2">
        <v>10</v>
      </c>
      <c r="G10" t="s">
        <v>3</v>
      </c>
      <c r="J10">
        <v>7.5</v>
      </c>
      <c r="K10" s="1">
        <f>Grundbruch_Rechteck($B$4,$B$5,$B$6,$B$17,$B$16,$B$9,$B$10,J10,$F$15,$F$16,$F$5,$F$10)</f>
        <v>7728.3349688366379</v>
      </c>
      <c r="L10" s="1">
        <f t="shared" si="0"/>
        <v>1017.4546008393523</v>
      </c>
      <c r="M10" s="1">
        <f>Grundbruch_Rechteck($B$4*1.5,ATAN(TAN($B$5/180*PI())*1.2)*180/PI(),$B$6,$B$17,$B$16,$B$9,$B$10,J10,$F$15,$F$16,$F$5,$F$10)/$E$30</f>
        <v>8021.7441955134909</v>
      </c>
      <c r="N10" s="1">
        <f t="shared" si="1"/>
        <v>1056.0826583465464</v>
      </c>
    </row>
    <row r="11" spans="1:20" x14ac:dyDescent="0.25">
      <c r="A11" t="s">
        <v>43</v>
      </c>
      <c r="B11">
        <v>1</v>
      </c>
      <c r="C11" t="s">
        <v>5</v>
      </c>
      <c r="J11">
        <v>10</v>
      </c>
      <c r="K11" s="1">
        <f>Grundbruch_Rechteck($B$4,$B$5,$B$6,$B$17,$B$16,$B$9,$B$10,J11,$F$15,$F$16,$F$5,$F$10)</f>
        <v>6878.0629259710131</v>
      </c>
      <c r="L11" s="1">
        <f t="shared" si="0"/>
        <v>1212.7880688592991</v>
      </c>
      <c r="M11" s="1">
        <f>Grundbruch_Rechteck($B$4*1.5,ATAN(TAN($B$5/180*PI())*1.2)*180/PI(),$B$6,$B$17,$B$16,$B$9,$B$10,J11,$F$15,$F$16,$F$5,$F$10)/$E$30</f>
        <v>7141.8227505428749</v>
      </c>
      <c r="N11" s="1">
        <f t="shared" si="1"/>
        <v>1259.2960423582497</v>
      </c>
    </row>
    <row r="12" spans="1:20" x14ac:dyDescent="0.25">
      <c r="J12">
        <v>12.5</v>
      </c>
      <c r="K12" s="1">
        <f>Grundbruch_Rechteck($B$4,$B$5,$B$6,$B$17,$B$16,$B$9,$B$10,J12,$F$15,$F$16,$F$5,$F$10)</f>
        <v>6107.0915489089166</v>
      </c>
      <c r="L12" s="1">
        <f t="shared" si="0"/>
        <v>1353.9096006649115</v>
      </c>
      <c r="M12" s="1">
        <f>Grundbruch_Rechteck($B$4*1.5,ATAN(TAN($B$5/180*PI())*1.2)*180/PI(),$B$6,$B$17,$B$16,$B$9,$B$10,J12,$F$15,$F$16,$F$5,$F$10)/$E$30</f>
        <v>6343.035732751966</v>
      </c>
      <c r="N12" s="1">
        <f t="shared" si="1"/>
        <v>1406.2171669045601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>Grundbruch_Rechteck($B$4,$B$5,$B$6,$B$17,$B$16,$B$9,$B$10,J13,$F$15,$F$16,$F$5,$F$10)</f>
        <v>5407.4511645769835</v>
      </c>
      <c r="L13" s="1">
        <f t="shared" si="0"/>
        <v>1448.9221726591368</v>
      </c>
      <c r="M13" s="1">
        <f>Grundbruch_Rechteck($B$4*1.5,ATAN(TAN($B$5/180*PI())*1.2)*180/PI(),$B$6,$B$17,$B$16,$B$9,$B$10,J13,$F$15,$F$16,$F$5,$F$10)/$E$30</f>
        <v>5617.137167267827</v>
      </c>
      <c r="N13" s="1">
        <f t="shared" si="1"/>
        <v>1505.1073677442585</v>
      </c>
    </row>
    <row r="14" spans="1:20" x14ac:dyDescent="0.25">
      <c r="A14" s="20" t="s">
        <v>18</v>
      </c>
      <c r="D14" t="s">
        <v>12</v>
      </c>
      <c r="J14">
        <v>17.5</v>
      </c>
      <c r="K14" s="1">
        <f>Grundbruch_Rechteck($B$4,$B$5,$B$6,$B$17,$B$16,$B$9,$B$10,J14,$F$15,$F$16,$F$5,$F$10)</f>
        <v>4772.4200402850338</v>
      </c>
      <c r="L14" s="1">
        <f t="shared" si="0"/>
        <v>1504.7382587236607</v>
      </c>
      <c r="M14" s="1">
        <f>Grundbruch_Rechteck($B$4*1.5,ATAN(TAN($B$5/180*PI())*1.2)*180/PI(),$B$6,$B$17,$B$16,$B$9,$B$10,J14,$F$15,$F$16,$F$5,$F$10)/$E$30</f>
        <v>4957.120396847602</v>
      </c>
      <c r="N14" s="1">
        <f t="shared" si="1"/>
        <v>1562.974057453355</v>
      </c>
    </row>
    <row r="15" spans="1:20" x14ac:dyDescent="0.25">
      <c r="A15" t="s">
        <v>88</v>
      </c>
      <c r="B15" s="2">
        <v>0</v>
      </c>
      <c r="C15" t="s">
        <v>4</v>
      </c>
      <c r="D15" t="s">
        <v>54</v>
      </c>
      <c r="F15" s="35">
        <f>IFERROR(F23/F26,0)</f>
        <v>0.25</v>
      </c>
      <c r="G15" t="s">
        <v>5</v>
      </c>
      <c r="J15">
        <v>20</v>
      </c>
      <c r="K15" s="1">
        <f>Grundbruch_Rechteck($B$4,$B$5,$B$6,$B$17,$B$16,$B$9,$B$10,J15,$F$15,$F$16,$F$5,$F$10)</f>
        <v>4196.2949084208103</v>
      </c>
      <c r="L15" s="1">
        <f t="shared" si="0"/>
        <v>1527.3264408679945</v>
      </c>
      <c r="M15" s="1">
        <f>Grundbruch_Rechteck($B$4*1.5,ATAN(TAN($B$5/180*PI())*1.2)*180/PI(),$B$6,$B$17,$B$16,$B$9,$B$10,J15,$F$15,$F$16,$F$5,$F$10)/$E$30</f>
        <v>4357.1249472337004</v>
      </c>
      <c r="N15" s="1">
        <f t="shared" si="1"/>
        <v>1585.8637877717645</v>
      </c>
    </row>
    <row r="16" spans="1:20" x14ac:dyDescent="0.25">
      <c r="A16" t="s">
        <v>87</v>
      </c>
      <c r="B16" s="2">
        <f>(B9-2*F15)*0.4</f>
        <v>0.8</v>
      </c>
      <c r="C16" t="s">
        <v>5</v>
      </c>
      <c r="D16" t="s">
        <v>53</v>
      </c>
      <c r="F16" s="35">
        <f>IFERROR(F24/F26,0)</f>
        <v>0.25</v>
      </c>
      <c r="G16" t="s">
        <v>5</v>
      </c>
      <c r="J16">
        <v>22.5</v>
      </c>
      <c r="K16" s="1">
        <f>Grundbruch_Rechteck($B$4,$B$5,$B$6,$B$17,$B$16,$B$9,$B$10,J16,$F$15,$F$16,$F$5,$F$10)</f>
        <v>3674.3710283410355</v>
      </c>
      <c r="L16" s="1">
        <f t="shared" si="0"/>
        <v>1521.9743131296329</v>
      </c>
      <c r="M16" s="1">
        <f>Grundbruch_Rechteck($B$4*1.5,ATAN(TAN($B$5/180*PI())*1.2)*180/PI(),$B$6,$B$17,$B$16,$B$9,$B$10,J16,$F$15,$F$16,$F$5,$F$10)/$E$30</f>
        <v>3812.1648778475655</v>
      </c>
      <c r="N16" s="1">
        <f t="shared" si="1"/>
        <v>1579.0503944068348</v>
      </c>
    </row>
    <row r="17" spans="1:14" x14ac:dyDescent="0.25">
      <c r="A17" t="s">
        <v>89</v>
      </c>
      <c r="B17" s="5">
        <f>B15+B6*B16</f>
        <v>16</v>
      </c>
      <c r="C17" t="s">
        <v>4</v>
      </c>
      <c r="D17" t="s">
        <v>55</v>
      </c>
      <c r="F17" s="36">
        <f>IFERROR(ATAN(F27/F26)*180/PI(),0)</f>
        <v>14.999999999999998</v>
      </c>
      <c r="G17" t="s">
        <v>3</v>
      </c>
      <c r="J17">
        <v>25</v>
      </c>
      <c r="K17" s="1">
        <f>Grundbruch_Rechteck($B$4,$B$5,$B$6,$B$17,$B$16,$B$9,$B$10,J17,$F$15,$F$16,$F$5,$F$10)</f>
        <v>3202.5465956406001</v>
      </c>
      <c r="L17" s="1">
        <f t="shared" si="0"/>
        <v>1493.3720031454313</v>
      </c>
      <c r="M17" s="1">
        <f>Grundbruch_Rechteck($B$4*1.5,ATAN(TAN($B$5/180*PI())*1.2)*180/PI(),$B$6,$B$17,$B$16,$B$9,$B$10,J17,$F$15,$F$16,$F$5,$F$10)/$E$30</f>
        <v>3318.0241071514956</v>
      </c>
      <c r="N17" s="1">
        <f t="shared" si="1"/>
        <v>1547.2200511076439</v>
      </c>
    </row>
    <row r="18" spans="1:14" x14ac:dyDescent="0.25">
      <c r="D18" t="s">
        <v>20</v>
      </c>
      <c r="F18" s="37">
        <f>(F26^2+F27^2)^0.5</f>
        <v>3105.8285412302489</v>
      </c>
      <c r="G18" t="s">
        <v>1</v>
      </c>
      <c r="J18">
        <v>30</v>
      </c>
      <c r="K18" s="1">
        <f>Grundbruch_Rechteck($B$4,$B$5,$B$6,$B$17,$B$16,$B$9,$B$10,J18,$F$15,$F$16,$F$5,$F$10)</f>
        <v>2396.4458875257233</v>
      </c>
      <c r="L18" s="1">
        <f t="shared" si="0"/>
        <v>1383.5886782613479</v>
      </c>
      <c r="M18" s="1">
        <f>Grundbruch_Rechteck($B$4*1.5,ATAN(TAN($B$5/180*PI())*1.2)*180/PI(),$B$6,$B$17,$B$16,$B$9,$B$10,J18,$F$15,$F$16,$F$5,$F$10)/$E$30</f>
        <v>2468.8285911451012</v>
      </c>
      <c r="N18" s="1">
        <f t="shared" si="1"/>
        <v>1425.3788516806687</v>
      </c>
    </row>
    <row r="19" spans="1:14" x14ac:dyDescent="0.25">
      <c r="J19">
        <v>35</v>
      </c>
      <c r="K19" s="1">
        <f>Grundbruch_Rechteck($B$4,$B$5,$B$6,$B$17,$B$16,$B$9,$B$10,J19,$F$15,$F$16,$F$5,$F$10)</f>
        <v>1756.6021082998536</v>
      </c>
      <c r="L19" s="1">
        <f t="shared" si="0"/>
        <v>1229.9860378666265</v>
      </c>
      <c r="M19" s="1">
        <f>Grundbruch_Rechteck($B$4*1.5,ATAN(TAN($B$5/180*PI())*1.2)*180/PI(),$B$6,$B$17,$B$16,$B$9,$B$10,J19,$F$15,$F$16,$F$5,$F$10)/$E$30</f>
        <v>1787.7251961141519</v>
      </c>
      <c r="N19" s="1">
        <f t="shared" si="1"/>
        <v>1251.7786585665608</v>
      </c>
    </row>
    <row r="20" spans="1:14" x14ac:dyDescent="0.25">
      <c r="A20" s="20" t="s">
        <v>46</v>
      </c>
      <c r="D20" s="20" t="s">
        <v>52</v>
      </c>
      <c r="J20">
        <v>40</v>
      </c>
      <c r="K20" s="1">
        <f>Grundbruch_Rechteck($B$4,$B$5,$B$6,$B$17,$B$16,$B$9,$B$10,J20,$F$15,$F$16,$F$5,$F$10)</f>
        <v>1265.8173426420094</v>
      </c>
      <c r="L20" s="1">
        <f t="shared" si="0"/>
        <v>1062.1468653487148</v>
      </c>
      <c r="M20" s="1">
        <f>Grundbruch_Rechteck($B$4*1.5,ATAN(TAN($B$5/180*PI())*1.2)*180/PI(),$B$6,$B$17,$B$16,$B$9,$B$10,J20,$F$15,$F$16,$F$5,$F$10)/$E$30</f>
        <v>1258.7209339913404</v>
      </c>
      <c r="N20" s="1">
        <f t="shared" si="1"/>
        <v>1056.1922714672551</v>
      </c>
    </row>
    <row r="21" spans="1:14" x14ac:dyDescent="0.25">
      <c r="A21" t="s">
        <v>51</v>
      </c>
      <c r="B21" s="39" t="s">
        <v>47</v>
      </c>
      <c r="E21" t="s">
        <v>75</v>
      </c>
      <c r="F21" s="66">
        <f>3000-B26</f>
        <v>2620.3125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1"/>
        <v>0</v>
      </c>
    </row>
    <row r="22" spans="1:14" x14ac:dyDescent="0.25">
      <c r="A22" t="s">
        <v>82</v>
      </c>
      <c r="B22" s="19">
        <f>(1+SIN(B5/180*PI()))/(1-SIN(B5/180*PI()))-0*(1-SIN(B5/180*PI()))/(1+SIN(B5/180*PI()))</f>
        <v>3.6457046004564373</v>
      </c>
      <c r="E22" t="s">
        <v>76</v>
      </c>
      <c r="F22" s="66">
        <f>F26*TAN(15/180*PI())+B23</f>
        <v>878.84492907418621</v>
      </c>
      <c r="G22" t="s">
        <v>1</v>
      </c>
    </row>
    <row r="23" spans="1:14" x14ac:dyDescent="0.25">
      <c r="A23" t="s">
        <v>83</v>
      </c>
      <c r="B23" s="15">
        <f>IF(B21="ja",0.5*B16*B16*B6*B22*B10,0)/1.4</f>
        <v>74.997351780818164</v>
      </c>
      <c r="C23" t="s">
        <v>1</v>
      </c>
      <c r="E23" t="s">
        <v>57</v>
      </c>
      <c r="F23" s="66">
        <f>0.25*F26</f>
        <v>750</v>
      </c>
      <c r="G23" t="s">
        <v>59</v>
      </c>
      <c r="K23" s="1"/>
      <c r="L23" s="1"/>
    </row>
    <row r="24" spans="1:14" x14ac:dyDescent="0.25">
      <c r="A24" s="20" t="s">
        <v>44</v>
      </c>
      <c r="E24" t="s">
        <v>58</v>
      </c>
      <c r="F24" s="66">
        <f>0.25*F26</f>
        <v>750</v>
      </c>
      <c r="G24" t="s">
        <v>59</v>
      </c>
    </row>
    <row r="25" spans="1:14" x14ac:dyDescent="0.25">
      <c r="A25" t="s">
        <v>51</v>
      </c>
      <c r="B25" s="39" t="s">
        <v>60</v>
      </c>
      <c r="D25" s="20" t="s">
        <v>64</v>
      </c>
      <c r="J25" t="s">
        <v>32</v>
      </c>
    </row>
    <row r="26" spans="1:14" x14ac:dyDescent="0.25">
      <c r="A26" t="s">
        <v>48</v>
      </c>
      <c r="B26" s="1">
        <f>VLOOKUP(B25,S4:T6,2,FALSE)*B9*B10*B11*25</f>
        <v>379.6875</v>
      </c>
      <c r="C26" t="s">
        <v>1</v>
      </c>
      <c r="E26" t="s">
        <v>81</v>
      </c>
      <c r="F26" s="15">
        <f>F21+B26</f>
        <v>3000</v>
      </c>
      <c r="G26" t="s">
        <v>1</v>
      </c>
      <c r="J26" t="s">
        <v>35</v>
      </c>
    </row>
    <row r="27" spans="1:14" x14ac:dyDescent="0.25">
      <c r="E27" t="s">
        <v>56</v>
      </c>
      <c r="F27" s="15">
        <f>F22-IF(B23&lt;F22,B23,F22)</f>
        <v>803.84757729336809</v>
      </c>
      <c r="G27" t="s">
        <v>1</v>
      </c>
      <c r="K27" t="s">
        <v>33</v>
      </c>
      <c r="L27" t="s">
        <v>36</v>
      </c>
    </row>
    <row r="28" spans="1:14" x14ac:dyDescent="0.25">
      <c r="A28" s="13" t="s">
        <v>62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-0.17632698070846498</v>
      </c>
    </row>
    <row r="30" spans="1:14" x14ac:dyDescent="0.25">
      <c r="A30" t="s">
        <v>72</v>
      </c>
      <c r="D30" s="28" t="s">
        <v>45</v>
      </c>
      <c r="E30" s="29">
        <v>2</v>
      </c>
      <c r="F30" s="26"/>
      <c r="K30" s="15">
        <f>K29</f>
        <v>0.5</v>
      </c>
      <c r="L30">
        <f>B11/B9+L28</f>
        <v>0.4</v>
      </c>
    </row>
    <row r="31" spans="1:14" x14ac:dyDescent="0.25">
      <c r="A31" t="s">
        <v>78</v>
      </c>
      <c r="B31" s="38">
        <f>Grundbruch_Rechteck(B4,B5,B6,B17,B16,B9,B10,F17,F15,F16,F5,F10)</f>
        <v>5407.4511645769835</v>
      </c>
      <c r="C31" t="s">
        <v>1</v>
      </c>
      <c r="D31" s="26" t="s">
        <v>80</v>
      </c>
      <c r="E31" s="27">
        <f>Grundbruch_Rechteck(B4*1.5,ATAN(TAN(B5/180*PI())*1.2)*180/PI(),B6,B17,B16,B9,B10,F17,F15,F16,F5,F10)</f>
        <v>11234.274334535654</v>
      </c>
      <c r="F31" s="26" t="s">
        <v>1</v>
      </c>
      <c r="K31" s="15">
        <f>K28</f>
        <v>-0.5</v>
      </c>
      <c r="L31">
        <f>L30</f>
        <v>0.4</v>
      </c>
    </row>
    <row r="32" spans="1:14" x14ac:dyDescent="0.25">
      <c r="A32" t="s">
        <v>7</v>
      </c>
      <c r="B32" s="38">
        <f>B31*TAN(F17/180*PI())</f>
        <v>1448.9221726591368</v>
      </c>
      <c r="C32" t="s">
        <v>1</v>
      </c>
      <c r="D32" s="26" t="s">
        <v>26</v>
      </c>
      <c r="E32" s="27">
        <f>E31*TAN(F17/180*PI())</f>
        <v>3010.2147354885169</v>
      </c>
      <c r="F32" s="26" t="s">
        <v>1</v>
      </c>
      <c r="K32" s="15">
        <f>K28</f>
        <v>-0.5</v>
      </c>
      <c r="L32">
        <f>L28</f>
        <v>0</v>
      </c>
    </row>
    <row r="33" spans="1:12" x14ac:dyDescent="0.25">
      <c r="A33" t="s">
        <v>71</v>
      </c>
      <c r="D33" s="26" t="s">
        <v>71</v>
      </c>
      <c r="E33" s="26"/>
      <c r="F33" s="26"/>
    </row>
    <row r="34" spans="1:12" x14ac:dyDescent="0.25">
      <c r="A34" s="16" t="s">
        <v>28</v>
      </c>
      <c r="B34" s="15">
        <f>B31/((B10-2*F16)*(B9-2*F15))</f>
        <v>675.93139557212294</v>
      </c>
      <c r="C34" t="s">
        <v>4</v>
      </c>
      <c r="D34" s="30" t="s">
        <v>73</v>
      </c>
      <c r="E34" s="31">
        <f>E31/((B10-2*F16)*(B9-2*F15))/E30</f>
        <v>702.14214590847837</v>
      </c>
      <c r="F34" s="32" t="s">
        <v>4</v>
      </c>
      <c r="J34" t="s">
        <v>38</v>
      </c>
      <c r="K34">
        <f>(1/2-2*F15/B9)</f>
        <v>0.3</v>
      </c>
      <c r="L34">
        <f>-(1-2*F15/B9)*TAN(F10/180*PI())</f>
        <v>-0.14106158456677198</v>
      </c>
    </row>
    <row r="35" spans="1:12" x14ac:dyDescent="0.25">
      <c r="D35" s="33" t="s">
        <v>74</v>
      </c>
      <c r="E35" s="31">
        <f>F26/((B9-2*F15)*(B10-2*F16))</f>
        <v>375</v>
      </c>
      <c r="F35" s="32" t="s">
        <v>4</v>
      </c>
      <c r="K35">
        <f>K34</f>
        <v>0.3</v>
      </c>
      <c r="L35">
        <f>B11/B9</f>
        <v>0.4</v>
      </c>
    </row>
    <row r="36" spans="1:12" x14ac:dyDescent="0.25">
      <c r="A36" s="21" t="s">
        <v>79</v>
      </c>
      <c r="B36" s="21"/>
      <c r="C36" s="21"/>
      <c r="D36" s="21"/>
      <c r="E36" s="21"/>
      <c r="F36" s="21"/>
      <c r="G36" s="21"/>
    </row>
    <row r="37" spans="1:12" x14ac:dyDescent="0.25">
      <c r="A37" s="40" t="s">
        <v>107</v>
      </c>
      <c r="B37" s="41"/>
      <c r="C37" s="41"/>
      <c r="D37" s="41"/>
      <c r="E37" s="41"/>
      <c r="F37" s="41"/>
      <c r="G37" s="42"/>
      <c r="J37" t="s">
        <v>34</v>
      </c>
      <c r="K37" t="s">
        <v>33</v>
      </c>
      <c r="L37" t="s">
        <v>36</v>
      </c>
    </row>
    <row r="38" spans="1:12" x14ac:dyDescent="0.25">
      <c r="A38" s="43" t="s">
        <v>68</v>
      </c>
      <c r="B38" s="44">
        <f>F26</f>
        <v>3000</v>
      </c>
      <c r="C38" s="45" t="s">
        <v>1</v>
      </c>
      <c r="D38" s="46" t="str">
        <f>IF(B38&lt;F38,"&lt;=","&gt;")</f>
        <v>&lt;=</v>
      </c>
      <c r="E38" s="47" t="s">
        <v>67</v>
      </c>
      <c r="F38" s="44">
        <f>(B31^2+B32^2)^0.5*COS((F10-F17)/180*PI())</f>
        <v>5576.9025257737758</v>
      </c>
      <c r="G38" s="48" t="s">
        <v>1</v>
      </c>
      <c r="J38" t="s">
        <v>37</v>
      </c>
      <c r="K38">
        <f>(1/2-F15/B9)-1/2</f>
        <v>-9.9999999999999978E-2</v>
      </c>
      <c r="L38">
        <f>-(1/2-F15/B9)*TAN(F10/180*PI())</f>
        <v>-7.053079228338599E-2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0.15881904510252076</v>
      </c>
      <c r="L39">
        <f>L38+COS(F17/180*PI())</f>
        <v>0.89539503400568232</v>
      </c>
    </row>
    <row r="40" spans="1:12" x14ac:dyDescent="0.25">
      <c r="A40" s="40" t="s">
        <v>106</v>
      </c>
      <c r="B40" t="str">
        <f>IF(B21="nein","","(Seitlicher Erddruck auf Widerstandseite)")</f>
        <v>(Seitlicher Erddruck auf Widerstandseite)</v>
      </c>
      <c r="C40" s="41"/>
      <c r="D40" s="41"/>
      <c r="E40" s="41"/>
      <c r="F40" s="41"/>
      <c r="G40" s="42"/>
    </row>
    <row r="41" spans="1:12" x14ac:dyDescent="0.25">
      <c r="A41" s="61" t="s">
        <v>122</v>
      </c>
      <c r="B41" s="62">
        <f>F26</f>
        <v>3000</v>
      </c>
      <c r="C41" t="s">
        <v>1</v>
      </c>
      <c r="D41" t="s">
        <v>6</v>
      </c>
      <c r="F41" s="15">
        <f>IFERROR(ATAN(B42/B41)*180/PI(),0)</f>
        <v>16.327856979916223</v>
      </c>
      <c r="G41" s="48" t="s">
        <v>3</v>
      </c>
      <c r="J41" t="s">
        <v>39</v>
      </c>
      <c r="K41" s="15">
        <f>K28</f>
        <v>-0.5</v>
      </c>
      <c r="L41">
        <f>B16/B9+L28</f>
        <v>0.32</v>
      </c>
    </row>
    <row r="42" spans="1:12" x14ac:dyDescent="0.25">
      <c r="A42" s="45" t="s">
        <v>123</v>
      </c>
      <c r="B42" s="15">
        <f>F22</f>
        <v>878.84492907418621</v>
      </c>
      <c r="C42" t="s">
        <v>1</v>
      </c>
      <c r="D42" t="s">
        <v>124</v>
      </c>
      <c r="E42" s="45"/>
      <c r="F42" s="62">
        <f>F10</f>
        <v>10</v>
      </c>
      <c r="G42" s="48" t="s">
        <v>3</v>
      </c>
      <c r="K42" s="15">
        <f>K41-0.3</f>
        <v>-0.8</v>
      </c>
      <c r="L42">
        <f>L41+(K42-K41)*TAN(F5/180*PI())</f>
        <v>0.2937534009422228</v>
      </c>
    </row>
    <row r="43" spans="1:12" x14ac:dyDescent="0.25">
      <c r="A43" s="14" t="s">
        <v>77</v>
      </c>
      <c r="B43" s="25">
        <v>0.5</v>
      </c>
      <c r="C43" s="24" t="str">
        <f>"*φd= "&amp;ROUND(B43*ATAN(TAN(B5/180*PI())/1.2)*180/PI(),1)&amp;"° und c' = 0 kPa)"</f>
        <v>*φd= 15° und c' = 0 kPa)</v>
      </c>
      <c r="G43" s="53"/>
    </row>
    <row r="44" spans="1:12" x14ac:dyDescent="0.25">
      <c r="A44" s="43" t="s">
        <v>120</v>
      </c>
      <c r="B44" s="52">
        <f>(B41^2+B42^2)^0.5*SIN((F41-F42)/180*PI())</f>
        <v>344.54876684693153</v>
      </c>
      <c r="C44" s="45" t="s">
        <v>1</v>
      </c>
      <c r="D44" s="46" t="str">
        <f>IF(B44&lt;=F44,"&lt;=","&gt;")</f>
        <v>&lt;=</v>
      </c>
      <c r="E44" s="46" t="s">
        <v>119</v>
      </c>
      <c r="F44" s="44">
        <f>F18*COS((F41-F42)/180*PI())*TAN(MIN(35/180*PI(),ATAN(TAN(B5/180*PI())/1.2)*B43))+B23</f>
        <v>902.13138485326829</v>
      </c>
      <c r="G44" s="53" t="s">
        <v>1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113</v>
      </c>
    </row>
    <row r="48" spans="1:12" ht="18.75" x14ac:dyDescent="0.35">
      <c r="B48" s="22" t="s">
        <v>111</v>
      </c>
      <c r="C48" s="56" t="s">
        <v>108</v>
      </c>
      <c r="D48" s="22" t="s">
        <v>112</v>
      </c>
      <c r="E48" s="46" t="s">
        <v>110</v>
      </c>
      <c r="F48" s="54">
        <f>1/9</f>
        <v>0.1111111111111111</v>
      </c>
    </row>
    <row r="49" spans="1:12" x14ac:dyDescent="0.25">
      <c r="B49" s="58">
        <f>(F15/B9)^2</f>
        <v>1.0000000000000002E-2</v>
      </c>
      <c r="C49" s="56" t="s">
        <v>108</v>
      </c>
      <c r="D49" s="58">
        <f>(F16/B10)^2</f>
        <v>3.0864197530864196E-3</v>
      </c>
      <c r="E49" s="57" t="str">
        <f>IF(B49+D49&lt;1/100,"&lt;1/100","= 1/"&amp;ROUND(1/(B49+D49),1))&amp;" "&amp;IF(B49+D49&gt;F49,"&gt;","&lt;=")</f>
        <v>= 1/76.4 &lt;=</v>
      </c>
      <c r="F49" s="54">
        <f>F48</f>
        <v>0.1111111111111111</v>
      </c>
    </row>
    <row r="50" spans="1:12" x14ac:dyDescent="0.25">
      <c r="A50" t="s">
        <v>105</v>
      </c>
      <c r="J50" t="s">
        <v>90</v>
      </c>
    </row>
    <row r="51" spans="1:12" x14ac:dyDescent="0.25">
      <c r="J51" t="s">
        <v>91</v>
      </c>
    </row>
    <row r="52" spans="1:12" x14ac:dyDescent="0.25">
      <c r="A52" t="s">
        <v>40</v>
      </c>
      <c r="D52" t="s">
        <v>70</v>
      </c>
      <c r="J52" t="s">
        <v>95</v>
      </c>
      <c r="L52" t="s">
        <v>96</v>
      </c>
    </row>
    <row r="53" spans="1:12" x14ac:dyDescent="0.25">
      <c r="A53" t="s">
        <v>42</v>
      </c>
      <c r="C53" s="17">
        <f>1-Grundbruch_Rechteck(0,B5,B6,B17,B16,B9,B10,F17,F15,F16,F5,F10)/Grundbruch_Rechteck(B4,B5,B6,B17,B16,B9,B10,F17,F15,F16,F5,F10)</f>
        <v>0.4822752073686053</v>
      </c>
      <c r="D53" s="15">
        <f>$B$34*C53</f>
        <v>325.98495396649639</v>
      </c>
      <c r="E53" t="s">
        <v>4</v>
      </c>
      <c r="J53" t="s">
        <v>92</v>
      </c>
      <c r="L53" t="s">
        <v>97</v>
      </c>
    </row>
    <row r="54" spans="1:12" x14ac:dyDescent="0.25">
      <c r="A54" t="s">
        <v>41</v>
      </c>
      <c r="C54" s="17">
        <f>1-Grundbruch_Rechteck(B4,B5,B6,0,B16,B9,B10,F17,F15,F16,F5,F10)/Grundbruch_Rechteck(B4,B5,B6,B17,B16,B9,B10,F17,F15,F16,F5,F10)</f>
        <v>0.32530085645955309</v>
      </c>
      <c r="D54" s="15">
        <f>$B$34*C54</f>
        <v>219.88106188751257</v>
      </c>
      <c r="E54" t="s">
        <v>4</v>
      </c>
      <c r="J54" t="s">
        <v>93</v>
      </c>
      <c r="L54" t="s">
        <v>98</v>
      </c>
    </row>
    <row r="55" spans="1:12" x14ac:dyDescent="0.25">
      <c r="A55" t="s">
        <v>63</v>
      </c>
      <c r="C55" s="17">
        <f>1-Grundbruch_Rechteck(B4,B5,0,B17,B16,B9,B10,F17,F15,F16,F5,F10)/Grundbruch_Rechteck(B4,B5,B6,B17,B16,B9,B10,F17,F15,F16,F5,F10)</f>
        <v>0.19262464133202739</v>
      </c>
      <c r="D55" s="15">
        <f>$B$34*C55</f>
        <v>130.20104263713691</v>
      </c>
      <c r="E55" t="s">
        <v>4</v>
      </c>
      <c r="J55" t="s">
        <v>94</v>
      </c>
      <c r="L55" t="s">
        <v>99</v>
      </c>
    </row>
    <row r="56" spans="1:12" x14ac:dyDescent="0.25">
      <c r="A56" t="s">
        <v>69</v>
      </c>
      <c r="C56" s="23">
        <f>SUM(C53:C55)</f>
        <v>1.0002007051601858</v>
      </c>
      <c r="D56" s="15">
        <f>$B$34*C56</f>
        <v>676.06705849114587</v>
      </c>
      <c r="E56" t="s">
        <v>84</v>
      </c>
    </row>
    <row r="57" spans="1:12" x14ac:dyDescent="0.25">
      <c r="J57" t="s">
        <v>100</v>
      </c>
    </row>
    <row r="58" spans="1:12" x14ac:dyDescent="0.25">
      <c r="J58" t="s">
        <v>95</v>
      </c>
      <c r="K58" t="s">
        <v>101</v>
      </c>
      <c r="L58" t="s">
        <v>96</v>
      </c>
    </row>
    <row r="59" spans="1:12" x14ac:dyDescent="0.25">
      <c r="J59" t="s">
        <v>103</v>
      </c>
      <c r="K59" t="s">
        <v>102</v>
      </c>
      <c r="L59" t="s">
        <v>104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9"/>
  <sheetViews>
    <sheetView zoomScaleNormal="100" workbookViewId="0">
      <selection activeCell="B32" sqref="B32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1.5703125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5" t="s">
        <v>114</v>
      </c>
      <c r="J1" t="s">
        <v>65</v>
      </c>
      <c r="R1" t="s">
        <v>66</v>
      </c>
    </row>
    <row r="2" spans="1:20" x14ac:dyDescent="0.25">
      <c r="A2" t="str">
        <f>IF(ABS(B34/310-1)&lt;1%,"Test erfüllt","Test nicht erfüllt")</f>
        <v>Test nicht erfüllt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47</v>
      </c>
      <c r="S4" t="s">
        <v>60</v>
      </c>
      <c r="T4">
        <v>1.35</v>
      </c>
    </row>
    <row r="5" spans="1:20" x14ac:dyDescent="0.25">
      <c r="A5" s="4" t="s">
        <v>15</v>
      </c>
      <c r="B5" s="64">
        <f>ATAN(TAN(30/180*PI())*1.2)*180/PI()</f>
        <v>34.715003953948212</v>
      </c>
      <c r="C5" t="s">
        <v>3</v>
      </c>
      <c r="D5" t="s">
        <v>14</v>
      </c>
      <c r="F5" s="2">
        <v>5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125</v>
      </c>
      <c r="S5" t="s">
        <v>61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50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Grundbruch_Rechteck($B$4,$B$5,$B$6,$B$17,$B$16,$B$9,$B$10,J7,$F$15,$F$16,$F$5,$F$10)</f>
        <v>5839.7854733375334</v>
      </c>
      <c r="L7" s="1">
        <f>K7*TAN(J7/180*PI())</f>
        <v>0</v>
      </c>
      <c r="M7" s="1">
        <f>Grundbruch_Rechteck($B$4*1.5,ATAN(TAN($B$5/180*PI())*1.2)*180/PI(),$B$6,$B$17,$B$16,$B$9,$B$10,J7,$F$15,$F$16,$F$5,$F$10)/$E$30</f>
        <v>6038.1503908874138</v>
      </c>
      <c r="N7" s="1">
        <f>M7*TAN(J7/180*PI())</f>
        <v>0</v>
      </c>
    </row>
    <row r="8" spans="1:20" x14ac:dyDescent="0.25">
      <c r="A8" s="7" t="s">
        <v>109</v>
      </c>
      <c r="B8" s="8"/>
      <c r="C8" s="8"/>
      <c r="D8" s="8"/>
      <c r="E8" s="8"/>
      <c r="F8" s="8"/>
      <c r="G8" s="8"/>
      <c r="J8">
        <v>2.5</v>
      </c>
      <c r="K8" s="1">
        <f>Grundbruch_Rechteck($B$4,$B$5,$B$6,$B$17,$B$16,$B$9,$B$10,J8,$F$15,$F$16,$F$5,$F$10)</f>
        <v>5191.0557217817059</v>
      </c>
      <c r="L8" s="1">
        <f t="shared" ref="L8:L20" si="0">K8*TAN(J8/180*PI())</f>
        <v>226.64638750361593</v>
      </c>
      <c r="M8" s="1">
        <f>Grundbruch_Rechteck($B$4*1.5,ATAN(TAN($B$5/180*PI())*1.2)*180/PI(),$B$6,$B$17,$B$16,$B$9,$B$10,J8,$F$15,$F$16,$F$5,$F$10)/$E$30</f>
        <v>5360.3293881493646</v>
      </c>
      <c r="N8" s="1">
        <f>M8*TAN(J8/180*PI())</f>
        <v>234.03703538680878</v>
      </c>
    </row>
    <row r="9" spans="1:20" x14ac:dyDescent="0.25">
      <c r="A9" t="s">
        <v>86</v>
      </c>
      <c r="B9" s="2">
        <v>2.5</v>
      </c>
      <c r="C9" t="s">
        <v>5</v>
      </c>
      <c r="D9" t="s">
        <v>12</v>
      </c>
      <c r="J9">
        <v>5</v>
      </c>
      <c r="K9" s="1">
        <f>Grundbruch_Rechteck($B$4,$B$5,$B$6,$B$17,$B$16,$B$9,$B$10,J9,$F$15,$F$16,$F$5,$F$10)</f>
        <v>4608.7831641749844</v>
      </c>
      <c r="L9" s="1">
        <f t="shared" si="0"/>
        <v>403.21627951444862</v>
      </c>
      <c r="M9" s="1">
        <f>Grundbruch_Rechteck($B$4*1.5,ATAN(TAN($B$5/180*PI())*1.2)*180/PI(),$B$6,$B$17,$B$16,$B$9,$B$10,J9,$F$15,$F$16,$F$5,$F$10)/$E$30</f>
        <v>4752.6065043375047</v>
      </c>
      <c r="N9" s="1">
        <f t="shared" ref="N9:N21" si="1">M9*TAN(J9/180*PI())</f>
        <v>415.79919132910186</v>
      </c>
    </row>
    <row r="10" spans="1:20" x14ac:dyDescent="0.25">
      <c r="A10" t="s">
        <v>85</v>
      </c>
      <c r="B10" s="2">
        <v>4.5</v>
      </c>
      <c r="C10" t="s">
        <v>5</v>
      </c>
      <c r="D10" t="s">
        <v>124</v>
      </c>
      <c r="F10" s="2">
        <v>10</v>
      </c>
      <c r="G10" t="s">
        <v>3</v>
      </c>
      <c r="J10">
        <v>7.5</v>
      </c>
      <c r="K10" s="1">
        <f>Grundbruch_Rechteck($B$4,$B$5,$B$6,$B$17,$B$16,$B$9,$B$10,J10,$F$15,$F$16,$F$5,$F$10)</f>
        <v>4084.8142683829296</v>
      </c>
      <c r="L10" s="1">
        <f t="shared" si="0"/>
        <v>537.7760006132437</v>
      </c>
      <c r="M10" s="1">
        <f>Grundbruch_Rechteck($B$4*1.5,ATAN(TAN($B$5/180*PI())*1.2)*180/PI(),$B$6,$B$17,$B$16,$B$9,$B$10,J10,$F$15,$F$16,$F$5,$F$10)/$E$30</f>
        <v>4206.3534513885988</v>
      </c>
      <c r="N10" s="1">
        <f t="shared" si="1"/>
        <v>553.77693761067167</v>
      </c>
    </row>
    <row r="11" spans="1:20" x14ac:dyDescent="0.25">
      <c r="A11" t="s">
        <v>43</v>
      </c>
      <c r="B11">
        <v>1</v>
      </c>
      <c r="C11" t="s">
        <v>5</v>
      </c>
      <c r="J11">
        <v>10</v>
      </c>
      <c r="K11" s="1">
        <f>Grundbruch_Rechteck($B$4,$B$5,$B$6,$B$17,$B$16,$B$9,$B$10,J11,$F$15,$F$16,$F$5,$F$10)</f>
        <v>3612.3124198064429</v>
      </c>
      <c r="L11" s="1">
        <f t="shared" si="0"/>
        <v>636.94814236015907</v>
      </c>
      <c r="M11" s="1">
        <f>Grundbruch_Rechteck($B$4*1.5,ATAN(TAN($B$5/180*PI())*1.2)*180/PI(),$B$6,$B$17,$B$16,$B$9,$B$10,J11,$F$15,$F$16,$F$5,$F$10)/$E$30</f>
        <v>3714.3376356164131</v>
      </c>
      <c r="N11" s="1">
        <f t="shared" si="1"/>
        <v>654.93794062006066</v>
      </c>
    </row>
    <row r="12" spans="1:20" x14ac:dyDescent="0.25">
      <c r="J12">
        <v>12.5</v>
      </c>
      <c r="K12" s="1">
        <f>Grundbruch_Rechteck($B$4,$B$5,$B$6,$B$17,$B$16,$B$9,$B$10,J12,$F$15,$F$16,$F$5,$F$10)</f>
        <v>3185.5203803853974</v>
      </c>
      <c r="L12" s="1">
        <f t="shared" si="0"/>
        <v>706.21286607175023</v>
      </c>
      <c r="M12" s="1">
        <f>Grundbruch_Rechteck($B$4*1.5,ATAN(TAN($B$5/180*PI())*1.2)*180/PI(),$B$6,$B$17,$B$16,$B$9,$B$10,J12,$F$15,$F$16,$F$5,$F$10)/$E$30</f>
        <v>3270.4697251230587</v>
      </c>
      <c r="N12" s="1">
        <f t="shared" si="1"/>
        <v>725.04568239510479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>Grundbruch_Rechteck($B$4,$B$5,$B$6,$B$17,$B$16,$B$9,$B$10,J13,$F$15,$F$16,$F$5,$F$10)</f>
        <v>2799.5715328450124</v>
      </c>
      <c r="L13" s="1">
        <f t="shared" si="0"/>
        <v>750.1429313789813</v>
      </c>
      <c r="M13" s="1">
        <f>Grundbruch_Rechteck($B$4*1.5,ATAN(TAN($B$5/180*PI())*1.2)*180/PI(),$B$6,$B$17,$B$16,$B$9,$B$10,J13,$F$15,$F$16,$F$5,$F$10)/$E$30</f>
        <v>2869.6030905490429</v>
      </c>
      <c r="N13" s="1">
        <f t="shared" si="1"/>
        <v>768.90783071046985</v>
      </c>
    </row>
    <row r="14" spans="1:20" x14ac:dyDescent="0.25">
      <c r="A14" s="20" t="s">
        <v>18</v>
      </c>
      <c r="D14" t="s">
        <v>12</v>
      </c>
      <c r="J14">
        <v>17.5</v>
      </c>
      <c r="K14" s="1">
        <f>Grundbruch_Rechteck($B$4,$B$5,$B$6,$B$17,$B$16,$B$9,$B$10,J14,$F$15,$F$16,$F$5,$F$10)</f>
        <v>2450.3387086858761</v>
      </c>
      <c r="L14" s="1">
        <f t="shared" si="0"/>
        <v>772.58882719194912</v>
      </c>
      <c r="M14" s="1">
        <f>Grundbruch_Rechteck($B$4*1.5,ATAN(TAN($B$5/180*PI())*1.2)*180/PI(),$B$6,$B$17,$B$16,$B$9,$B$10,J14,$F$15,$F$16,$F$5,$F$10)/$E$30</f>
        <v>2507.3731870502252</v>
      </c>
      <c r="N14" s="1">
        <f t="shared" si="1"/>
        <v>790.57172914457294</v>
      </c>
    </row>
    <row r="15" spans="1:20" x14ac:dyDescent="0.25">
      <c r="A15" t="s">
        <v>88</v>
      </c>
      <c r="B15" s="2">
        <v>0</v>
      </c>
      <c r="C15" t="s">
        <v>4</v>
      </c>
      <c r="D15" t="s">
        <v>54</v>
      </c>
      <c r="F15" s="35">
        <f>IFERROR(F23/F26,0)</f>
        <v>0.25</v>
      </c>
      <c r="G15" t="s">
        <v>5</v>
      </c>
      <c r="J15">
        <v>20</v>
      </c>
      <c r="K15" s="1">
        <f>Grundbruch_Rechteck($B$4,$B$5,$B$6,$B$17,$B$16,$B$9,$B$10,J15,$F$15,$F$16,$F$5,$F$10)</f>
        <v>2134.3121285119505</v>
      </c>
      <c r="L15" s="1">
        <f t="shared" si="0"/>
        <v>776.82608541169157</v>
      </c>
      <c r="M15" s="1">
        <f>Grundbruch_Rechteck($B$4*1.5,ATAN(TAN($B$5/180*PI())*1.2)*180/PI(),$B$6,$B$17,$B$16,$B$9,$B$10,J15,$F$15,$F$16,$F$5,$F$10)/$E$30</f>
        <v>2180.0678556102171</v>
      </c>
      <c r="N15" s="1">
        <f t="shared" si="1"/>
        <v>793.47980812266803</v>
      </c>
    </row>
    <row r="16" spans="1:20" x14ac:dyDescent="0.25">
      <c r="A16" t="s">
        <v>87</v>
      </c>
      <c r="B16" s="2">
        <v>0.8</v>
      </c>
      <c r="C16" t="s">
        <v>5</v>
      </c>
      <c r="D16" t="s">
        <v>53</v>
      </c>
      <c r="F16" s="35">
        <f>IFERROR(F24/F26,0)</f>
        <v>0.25</v>
      </c>
      <c r="G16" t="s">
        <v>5</v>
      </c>
      <c r="J16">
        <v>22.5</v>
      </c>
      <c r="K16" s="1">
        <f>Grundbruch_Rechteck($B$4,$B$5,$B$6,$B$17,$B$16,$B$9,$B$10,J16,$F$15,$F$16,$F$5,$F$10)</f>
        <v>1848.4999699458722</v>
      </c>
      <c r="L16" s="1">
        <f t="shared" si="0"/>
        <v>765.67375759783886</v>
      </c>
      <c r="M16" s="1">
        <f>Grundbruch_Rechteck($B$4*1.5,ATAN(TAN($B$5/180*PI())*1.2)*180/PI(),$B$6,$B$17,$B$16,$B$9,$B$10,J16,$F$15,$F$16,$F$5,$F$10)/$E$30</f>
        <v>1884.5216389714683</v>
      </c>
      <c r="N16" s="1">
        <f t="shared" si="1"/>
        <v>780.59442144755553</v>
      </c>
    </row>
    <row r="17" spans="1:14" x14ac:dyDescent="0.25">
      <c r="A17" t="s">
        <v>89</v>
      </c>
      <c r="B17" s="5">
        <f>B15+B6*B16</f>
        <v>16</v>
      </c>
      <c r="C17" t="s">
        <v>4</v>
      </c>
      <c r="D17" t="s">
        <v>55</v>
      </c>
      <c r="F17" s="36">
        <f>IFERROR(ATAN(F27/F26)*180/PI(),0)</f>
        <v>14.999999999999998</v>
      </c>
      <c r="G17" t="s">
        <v>3</v>
      </c>
      <c r="J17">
        <v>25</v>
      </c>
      <c r="K17" s="1">
        <f>Grundbruch_Rechteck($B$4,$B$5,$B$6,$B$17,$B$16,$B$9,$B$10,J17,$F$15,$F$16,$F$5,$F$10)</f>
        <v>1590.3465291288605</v>
      </c>
      <c r="L17" s="1">
        <f t="shared" si="0"/>
        <v>741.59076565300916</v>
      </c>
      <c r="M17" s="1">
        <f>Grundbruch_Rechteck($B$4*1.5,ATAN(TAN($B$5/180*PI())*1.2)*180/PI(),$B$6,$B$17,$B$16,$B$9,$B$10,J17,$F$15,$F$16,$F$5,$F$10)/$E$30</f>
        <v>1618.0287533416999</v>
      </c>
      <c r="N17" s="1">
        <f t="shared" si="1"/>
        <v>754.49919879821994</v>
      </c>
    </row>
    <row r="18" spans="1:14" x14ac:dyDescent="0.25">
      <c r="D18" t="s">
        <v>20</v>
      </c>
      <c r="F18" s="37">
        <f>(F26^2+F27^2)^0.5</f>
        <v>2070.5523608201661</v>
      </c>
      <c r="G18" t="s">
        <v>1</v>
      </c>
      <c r="J18">
        <v>30</v>
      </c>
      <c r="K18" s="1">
        <f>Grundbruch_Rechteck($B$4,$B$5,$B$6,$B$17,$B$16,$B$9,$B$10,J18,$F$15,$F$16,$F$5,$F$10)</f>
        <v>1148.5746674889833</v>
      </c>
      <c r="L18" s="1">
        <f t="shared" si="0"/>
        <v>663.12989345914934</v>
      </c>
      <c r="M18" s="1">
        <f>Grundbruch_Rechteck($B$4*1.5,ATAN(TAN($B$5/180*PI())*1.2)*180/PI(),$B$6,$B$17,$B$16,$B$9,$B$10,J18,$F$15,$F$16,$F$5,$F$10)/$E$30</f>
        <v>1163.2536034712605</v>
      </c>
      <c r="N18" s="1">
        <f t="shared" si="1"/>
        <v>671.60478109993437</v>
      </c>
    </row>
    <row r="19" spans="1:14" x14ac:dyDescent="0.25">
      <c r="J19">
        <v>35</v>
      </c>
      <c r="K19" s="1">
        <f>Grundbruch_Rechteck($B$4,$B$5,$B$6,$B$17,$B$16,$B$9,$B$10,J19,$F$15,$F$16,$F$5,$F$10)</f>
        <v>794.92027847861652</v>
      </c>
      <c r="L19" s="1">
        <f t="shared" si="0"/>
        <v>556.60917126648894</v>
      </c>
      <c r="M19" s="1">
        <f>Grundbruch_Rechteck($B$4*1.5,ATAN(TAN($B$5/180*PI())*1.2)*180/PI(),$B$6,$B$17,$B$16,$B$9,$B$10,J19,$F$15,$F$16,$F$5,$F$10)/$E$30</f>
        <v>800.78384249945759</v>
      </c>
      <c r="N19" s="1">
        <f t="shared" si="1"/>
        <v>560.71488299465716</v>
      </c>
    </row>
    <row r="20" spans="1:14" x14ac:dyDescent="0.25">
      <c r="A20" s="20" t="s">
        <v>46</v>
      </c>
      <c r="D20" s="20" t="s">
        <v>52</v>
      </c>
      <c r="J20">
        <v>40</v>
      </c>
      <c r="K20" s="1">
        <f>Grundbruch_Rechteck($B$4,$B$5,$B$6,$B$17,$B$16,$B$9,$B$10,J20,$F$15,$F$16,$F$5,$F$10)</f>
        <v>518.78185006040815</v>
      </c>
      <c r="L20" s="1">
        <f t="shared" si="0"/>
        <v>435.30965904715544</v>
      </c>
      <c r="M20" s="1">
        <f>Grundbruch_Rechteck($B$4*1.5,ATAN(TAN($B$5/180*PI())*1.2)*180/PI(),$B$6,$B$17,$B$16,$B$9,$B$10,J20,$F$15,$F$16,$F$5,$F$10)/$E$30</f>
        <v>519.28140996846651</v>
      </c>
      <c r="N20" s="1">
        <f t="shared" si="1"/>
        <v>435.72883958175811</v>
      </c>
    </row>
    <row r="21" spans="1:14" x14ac:dyDescent="0.25">
      <c r="A21" t="s">
        <v>51</v>
      </c>
      <c r="B21" s="39" t="s">
        <v>47</v>
      </c>
      <c r="E21" t="s">
        <v>75</v>
      </c>
      <c r="F21" s="66">
        <f>2000-B26</f>
        <v>1620.3125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1"/>
        <v>0</v>
      </c>
    </row>
    <row r="22" spans="1:14" x14ac:dyDescent="0.25">
      <c r="A22" t="s">
        <v>82</v>
      </c>
      <c r="B22" s="19">
        <f>(1+SIN(B5/180*PI()))/(1-SIN(B5/180*PI()))-0*(1-SIN(B5/180*PI()))/(1+SIN(B5/180*PI()))</f>
        <v>3.6457046004564373</v>
      </c>
      <c r="E22" t="s">
        <v>76</v>
      </c>
      <c r="F22" s="66">
        <f>F26*TAN(15/180*PI())+B23</f>
        <v>610.89573664306351</v>
      </c>
      <c r="G22" t="s">
        <v>1</v>
      </c>
    </row>
    <row r="23" spans="1:14" x14ac:dyDescent="0.25">
      <c r="A23" t="s">
        <v>83</v>
      </c>
      <c r="B23" s="15">
        <f>IF(B21="ja",0.5*B16*B16*B6*B22*B10,0)/1.4</f>
        <v>74.997351780818164</v>
      </c>
      <c r="C23" t="s">
        <v>1</v>
      </c>
      <c r="E23" t="s">
        <v>57</v>
      </c>
      <c r="F23" s="66">
        <f>0.25*F26</f>
        <v>500</v>
      </c>
      <c r="G23" t="s">
        <v>59</v>
      </c>
      <c r="K23" s="1"/>
      <c r="L23" s="1"/>
    </row>
    <row r="24" spans="1:14" x14ac:dyDescent="0.25">
      <c r="A24" s="20" t="s">
        <v>44</v>
      </c>
      <c r="E24" t="s">
        <v>58</v>
      </c>
      <c r="F24" s="66">
        <f>0.25*F26</f>
        <v>500</v>
      </c>
      <c r="G24" t="s">
        <v>59</v>
      </c>
    </row>
    <row r="25" spans="1:14" x14ac:dyDescent="0.25">
      <c r="A25" t="s">
        <v>51</v>
      </c>
      <c r="B25" s="39" t="s">
        <v>60</v>
      </c>
      <c r="D25" s="20" t="s">
        <v>64</v>
      </c>
      <c r="J25" t="s">
        <v>32</v>
      </c>
    </row>
    <row r="26" spans="1:14" x14ac:dyDescent="0.25">
      <c r="A26" t="s">
        <v>48</v>
      </c>
      <c r="B26" s="1">
        <f>VLOOKUP(B25,S4:T6,2,FALSE)*B9*B10*B11*25</f>
        <v>379.6875</v>
      </c>
      <c r="C26" t="s">
        <v>1</v>
      </c>
      <c r="E26" t="s">
        <v>81</v>
      </c>
      <c r="F26" s="15">
        <f>F21+B26</f>
        <v>2000</v>
      </c>
      <c r="G26" t="s">
        <v>1</v>
      </c>
      <c r="J26" t="s">
        <v>35</v>
      </c>
    </row>
    <row r="27" spans="1:14" x14ac:dyDescent="0.25">
      <c r="E27" t="s">
        <v>56</v>
      </c>
      <c r="F27" s="15">
        <f>F22-IF(B23&lt;F22,B23,F22)</f>
        <v>535.89838486224539</v>
      </c>
      <c r="G27" t="s">
        <v>1</v>
      </c>
      <c r="K27" t="s">
        <v>33</v>
      </c>
      <c r="L27" t="s">
        <v>36</v>
      </c>
    </row>
    <row r="28" spans="1:14" x14ac:dyDescent="0.25">
      <c r="A28" s="13" t="s">
        <v>62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6" t="s">
        <v>27</v>
      </c>
      <c r="E29" s="26"/>
      <c r="F29" s="26"/>
      <c r="K29" s="15">
        <f>1/2</f>
        <v>0.5</v>
      </c>
      <c r="L29">
        <f>-1*TAN(F10/180*PI())</f>
        <v>-0.17632698070846498</v>
      </c>
    </row>
    <row r="30" spans="1:14" x14ac:dyDescent="0.25">
      <c r="A30" t="s">
        <v>72</v>
      </c>
      <c r="D30" s="28" t="s">
        <v>45</v>
      </c>
      <c r="E30" s="29">
        <v>1.8</v>
      </c>
      <c r="F30" s="26"/>
      <c r="K30" s="15">
        <f>K29</f>
        <v>0.5</v>
      </c>
      <c r="L30">
        <f>B11/B9+L28</f>
        <v>0.4</v>
      </c>
    </row>
    <row r="31" spans="1:14" x14ac:dyDescent="0.25">
      <c r="A31" t="s">
        <v>78</v>
      </c>
      <c r="B31" s="38">
        <f>Grundbruch_Rechteck(B4,B5,B6,B17,B16,B9,B10,F17,F15,F16,F5,F10)</f>
        <v>2799.5715328450124</v>
      </c>
      <c r="C31" t="s">
        <v>1</v>
      </c>
      <c r="D31" s="26" t="s">
        <v>80</v>
      </c>
      <c r="E31" s="27">
        <f>Grundbruch_Rechteck(B4*1.5,ATAN(TAN(B5/180*PI())*1.2)*180/PI(),B6,B17,B16,B9,B10,F17,F15,F16,F5,F10)</f>
        <v>5165.285562988277</v>
      </c>
      <c r="F31" s="26" t="s">
        <v>1</v>
      </c>
      <c r="K31" s="15">
        <f>K28</f>
        <v>-0.5</v>
      </c>
      <c r="L31">
        <f>L30</f>
        <v>0.4</v>
      </c>
    </row>
    <row r="32" spans="1:14" x14ac:dyDescent="0.25">
      <c r="A32" t="s">
        <v>7</v>
      </c>
      <c r="B32" s="38">
        <f>B31*TAN(F17/180*PI())</f>
        <v>750.1429313789813</v>
      </c>
      <c r="C32" t="s">
        <v>1</v>
      </c>
      <c r="D32" s="26" t="s">
        <v>26</v>
      </c>
      <c r="E32" s="27">
        <f>E31*TAN(F17/180*PI())</f>
        <v>1384.0340952788458</v>
      </c>
      <c r="F32" s="26" t="s">
        <v>1</v>
      </c>
      <c r="K32" s="15">
        <f>K28</f>
        <v>-0.5</v>
      </c>
      <c r="L32">
        <f>L28</f>
        <v>0</v>
      </c>
    </row>
    <row r="33" spans="1:12" x14ac:dyDescent="0.25">
      <c r="A33" t="s">
        <v>71</v>
      </c>
      <c r="D33" s="26" t="s">
        <v>71</v>
      </c>
      <c r="E33" s="26"/>
      <c r="F33" s="26"/>
    </row>
    <row r="34" spans="1:12" x14ac:dyDescent="0.25">
      <c r="A34" s="16" t="s">
        <v>28</v>
      </c>
      <c r="B34" s="15">
        <f>B31/((B10-2*F16)*(B9-2*F15))</f>
        <v>349.94644160562655</v>
      </c>
      <c r="C34" t="s">
        <v>4</v>
      </c>
      <c r="D34" s="30" t="s">
        <v>73</v>
      </c>
      <c r="E34" s="31">
        <f>E31/((B10-2*F16)*(B9-2*F15))/E30</f>
        <v>358.70038631863036</v>
      </c>
      <c r="F34" s="32" t="s">
        <v>4</v>
      </c>
      <c r="J34" t="s">
        <v>38</v>
      </c>
      <c r="K34">
        <f>(1/2-2*F15/B9)</f>
        <v>0.3</v>
      </c>
      <c r="L34">
        <f>-(1-2*F15/B9)*TAN(F10/180*PI())</f>
        <v>-0.14106158456677198</v>
      </c>
    </row>
    <row r="35" spans="1:12" x14ac:dyDescent="0.25">
      <c r="D35" s="33" t="s">
        <v>74</v>
      </c>
      <c r="E35" s="31">
        <f>F26/((B9-2*F15)*(B10-2*F16))</f>
        <v>250</v>
      </c>
      <c r="F35" s="32" t="s">
        <v>4</v>
      </c>
      <c r="K35">
        <f>K34</f>
        <v>0.3</v>
      </c>
      <c r="L35">
        <f>B11/B9</f>
        <v>0.4</v>
      </c>
    </row>
    <row r="36" spans="1:12" x14ac:dyDescent="0.25">
      <c r="A36" s="21" t="s">
        <v>79</v>
      </c>
      <c r="B36" s="21"/>
      <c r="C36" s="21"/>
      <c r="D36" s="21"/>
      <c r="E36" s="21"/>
      <c r="F36" s="21"/>
      <c r="G36" s="21"/>
    </row>
    <row r="37" spans="1:12" x14ac:dyDescent="0.25">
      <c r="A37" s="40" t="s">
        <v>107</v>
      </c>
      <c r="B37" s="41"/>
      <c r="C37" s="41"/>
      <c r="D37" s="41"/>
      <c r="E37" s="41"/>
      <c r="F37" s="41"/>
      <c r="G37" s="42"/>
      <c r="J37" t="s">
        <v>34</v>
      </c>
      <c r="K37" t="s">
        <v>33</v>
      </c>
      <c r="L37" t="s">
        <v>36</v>
      </c>
    </row>
    <row r="38" spans="1:12" x14ac:dyDescent="0.25">
      <c r="A38" s="43" t="s">
        <v>68</v>
      </c>
      <c r="B38" s="44">
        <f>F26</f>
        <v>2000</v>
      </c>
      <c r="C38" s="45" t="s">
        <v>1</v>
      </c>
      <c r="D38" s="46" t="str">
        <f>IF(B38&lt;F38,"&lt;=","&gt;")</f>
        <v>&lt;=</v>
      </c>
      <c r="E38" s="47" t="s">
        <v>67</v>
      </c>
      <c r="F38" s="44">
        <f>(B31^2+B32^2)^0.5*COS((F10-F17)/180*PI())</f>
        <v>2887.3007036817294</v>
      </c>
      <c r="G38" s="48" t="s">
        <v>1</v>
      </c>
      <c r="J38" t="s">
        <v>37</v>
      </c>
      <c r="K38">
        <f>(1/2-F15/B9)-1/2</f>
        <v>-9.9999999999999978E-2</v>
      </c>
      <c r="L38">
        <f>-(1/2-F15/B9)*TAN(F10/180*PI())</f>
        <v>-7.053079228338599E-2</v>
      </c>
    </row>
    <row r="39" spans="1:12" x14ac:dyDescent="0.25">
      <c r="A39" s="49" t="str">
        <f>IF(F38&gt;B38,"Grundbruchnachweis erfüllt", "Grundbruchnachweis NICHT erfüllt")</f>
        <v>Grundbruchnachweis erfüllt</v>
      </c>
      <c r="B39" s="50"/>
      <c r="C39" s="50"/>
      <c r="D39" s="50"/>
      <c r="E39" s="50"/>
      <c r="F39" s="50"/>
      <c r="G39" s="51"/>
      <c r="K39">
        <f>K38+SIN(F17/180*PI())</f>
        <v>0.15881904510252076</v>
      </c>
      <c r="L39">
        <f>L38+COS(F17/180*PI())</f>
        <v>0.89539503400568232</v>
      </c>
    </row>
    <row r="40" spans="1:12" x14ac:dyDescent="0.25">
      <c r="A40" s="40" t="s">
        <v>106</v>
      </c>
      <c r="B40" t="str">
        <f>IF(B21="nein","","(Seitlicher Erddruck auf Widerstandseite)")</f>
        <v>(Seitlicher Erddruck auf Widerstandseite)</v>
      </c>
      <c r="C40" s="41"/>
      <c r="D40" s="41"/>
      <c r="E40" s="41"/>
      <c r="F40" s="41"/>
      <c r="G40" s="42"/>
    </row>
    <row r="41" spans="1:12" x14ac:dyDescent="0.25">
      <c r="A41" s="61" t="s">
        <v>122</v>
      </c>
      <c r="B41" s="62">
        <f>F26</f>
        <v>2000</v>
      </c>
      <c r="C41" t="s">
        <v>1</v>
      </c>
      <c r="D41" t="s">
        <v>6</v>
      </c>
      <c r="F41" s="15">
        <f>IFERROR(ATAN(B42/B41)*180/PI(),0)</f>
        <v>16.985179966823885</v>
      </c>
      <c r="G41" s="48" t="s">
        <v>3</v>
      </c>
      <c r="J41" t="s">
        <v>39</v>
      </c>
      <c r="K41" s="15">
        <f>K28</f>
        <v>-0.5</v>
      </c>
      <c r="L41">
        <f>B16/B9+L28</f>
        <v>0.32</v>
      </c>
    </row>
    <row r="42" spans="1:12" x14ac:dyDescent="0.25">
      <c r="A42" s="45" t="s">
        <v>123</v>
      </c>
      <c r="B42" s="15">
        <f>F22</f>
        <v>610.89573664306351</v>
      </c>
      <c r="C42" t="s">
        <v>1</v>
      </c>
      <c r="D42" t="s">
        <v>124</v>
      </c>
      <c r="E42" s="45"/>
      <c r="F42" s="62">
        <f>F10</f>
        <v>10</v>
      </c>
      <c r="G42" s="48" t="s">
        <v>3</v>
      </c>
      <c r="K42" s="15">
        <f>K41-0.3</f>
        <v>-0.8</v>
      </c>
      <c r="L42">
        <f>L41+(K42-K41)*TAN(F5/180*PI())</f>
        <v>0.2937534009422228</v>
      </c>
    </row>
    <row r="43" spans="1:12" x14ac:dyDescent="0.25">
      <c r="A43" s="14" t="s">
        <v>77</v>
      </c>
      <c r="B43" s="25">
        <v>0.5</v>
      </c>
      <c r="C43" s="24" t="str">
        <f>"*φd= "&amp;ROUND(B43*ATAN(TAN(B5/180*PI())/1.2)*180/PI(),1)&amp;"° und c' = 0 kPa)"</f>
        <v>*φd= 15° und c' = 0 kPa)</v>
      </c>
      <c r="G43" s="53"/>
    </row>
    <row r="44" spans="1:12" x14ac:dyDescent="0.25">
      <c r="A44" s="43" t="s">
        <v>120</v>
      </c>
      <c r="B44" s="52">
        <f>(B41^2+B42^2)^0.5*SIN((F41-F42)/180*PI())</f>
        <v>254.31850239433228</v>
      </c>
      <c r="C44" s="45" t="s">
        <v>1</v>
      </c>
      <c r="D44" s="46" t="str">
        <f>IF(B44&lt;=F44,"&lt;=","&gt;")</f>
        <v>&lt;=</v>
      </c>
      <c r="E44" s="46" t="s">
        <v>119</v>
      </c>
      <c r="F44" s="44">
        <f>F18*COS((F41-F42)/180*PI())*TAN(MIN(35/180*PI(),ATAN(TAN(B5/180*PI())/1.2)*B43))+B23</f>
        <v>625.68223892871617</v>
      </c>
      <c r="G44" s="53" t="s">
        <v>1</v>
      </c>
    </row>
    <row r="45" spans="1:12" x14ac:dyDescent="0.25">
      <c r="A45" s="49" t="str">
        <f>IF(B44&lt;&gt;0,IF(F44&gt;B44,"Gleitnachweis erfüllt", "Gleitnachweis NICHT erfüllt"),"Gleitnachweis erfüllt, keine Horizontalkraft. ")</f>
        <v>Gleitnachweis erfüllt</v>
      </c>
      <c r="B45" s="50"/>
      <c r="C45" s="50"/>
      <c r="D45" s="50"/>
      <c r="E45" s="50"/>
      <c r="F45" s="50"/>
      <c r="G45" s="51"/>
    </row>
    <row r="47" spans="1:12" x14ac:dyDescent="0.25">
      <c r="A47" t="s">
        <v>113</v>
      </c>
    </row>
    <row r="48" spans="1:12" ht="18.75" x14ac:dyDescent="0.35">
      <c r="B48" s="22" t="s">
        <v>111</v>
      </c>
      <c r="C48" s="56" t="s">
        <v>108</v>
      </c>
      <c r="D48" s="22" t="s">
        <v>112</v>
      </c>
      <c r="E48" s="46" t="s">
        <v>110</v>
      </c>
      <c r="F48" s="54">
        <f>1/9</f>
        <v>0.1111111111111111</v>
      </c>
    </row>
    <row r="49" spans="1:12" x14ac:dyDescent="0.25">
      <c r="B49" s="58">
        <f>(F15/B9)^2</f>
        <v>1.0000000000000002E-2</v>
      </c>
      <c r="C49" s="56" t="s">
        <v>108</v>
      </c>
      <c r="D49" s="58">
        <f>(F16/B10)^2</f>
        <v>3.0864197530864196E-3</v>
      </c>
      <c r="E49" s="57" t="str">
        <f>IF(B49+D49&lt;1/100,"&lt;1/100","= 1/"&amp;ROUND(1/(B49+D49),1))&amp;" "&amp;IF(B49+D49&gt;F49,"&gt;","&lt;=")</f>
        <v>= 1/76.4 &lt;=</v>
      </c>
      <c r="F49" s="54">
        <f>F48</f>
        <v>0.1111111111111111</v>
      </c>
    </row>
    <row r="50" spans="1:12" x14ac:dyDescent="0.25">
      <c r="A50" t="s">
        <v>105</v>
      </c>
      <c r="J50" t="s">
        <v>90</v>
      </c>
    </row>
    <row r="51" spans="1:12" x14ac:dyDescent="0.25">
      <c r="J51" t="s">
        <v>91</v>
      </c>
    </row>
    <row r="52" spans="1:12" x14ac:dyDescent="0.25">
      <c r="A52" t="s">
        <v>40</v>
      </c>
      <c r="D52" t="s">
        <v>70</v>
      </c>
      <c r="J52" t="s">
        <v>95</v>
      </c>
      <c r="L52" t="s">
        <v>96</v>
      </c>
    </row>
    <row r="53" spans="1:12" x14ac:dyDescent="0.25">
      <c r="A53" t="s">
        <v>42</v>
      </c>
      <c r="C53" s="17">
        <f>1-Grundbruch_Rechteck(0,B5,B6,B17,B16,B9,B10,F17,F15,F16,F5,F10)/Grundbruch_Rechteck(B4,B5,B6,B17,B16,B9,B10,F17,F15,F16,F5,F10)</f>
        <v>0</v>
      </c>
      <c r="D53" s="15">
        <f>$B$34*C53</f>
        <v>0</v>
      </c>
      <c r="E53" t="s">
        <v>4</v>
      </c>
      <c r="J53" t="s">
        <v>92</v>
      </c>
      <c r="L53" t="s">
        <v>97</v>
      </c>
    </row>
    <row r="54" spans="1:12" x14ac:dyDescent="0.25">
      <c r="A54" t="s">
        <v>41</v>
      </c>
      <c r="C54" s="17">
        <f>1-Grundbruch_Rechteck(B4,B5,B6,0,B16,B9,B10,F17,F15,F16,F5,F10)/Grundbruch_Rechteck(B4,B5,B6,B17,B16,B9,B10,F17,F15,F16,F5,F10)</f>
        <v>0.62872948216772917</v>
      </c>
      <c r="D54" s="15">
        <f>$B$34*C54</f>
        <v>220.02164501714506</v>
      </c>
      <c r="E54" t="s">
        <v>4</v>
      </c>
      <c r="J54" t="s">
        <v>93</v>
      </c>
      <c r="L54" t="s">
        <v>98</v>
      </c>
    </row>
    <row r="55" spans="1:12" x14ac:dyDescent="0.25">
      <c r="A55" t="s">
        <v>63</v>
      </c>
      <c r="C55" s="17">
        <f>1-Grundbruch_Rechteck(B4,B5,0,B17,B16,B9,B10,F17,F15,F16,F5,F10)/Grundbruch_Rechteck(B4,B5,B6,B17,B16,B9,B10,F17,F15,F16,F5,F10)</f>
        <v>0.37127051783227094</v>
      </c>
      <c r="D55" s="15">
        <f>$B$34*C55</f>
        <v>129.92479658848154</v>
      </c>
      <c r="E55" t="s">
        <v>4</v>
      </c>
      <c r="J55" t="s">
        <v>94</v>
      </c>
      <c r="L55" t="s">
        <v>99</v>
      </c>
    </row>
    <row r="56" spans="1:12" x14ac:dyDescent="0.25">
      <c r="A56" t="s">
        <v>69</v>
      </c>
      <c r="C56" s="23">
        <f>SUM(C53:C55)</f>
        <v>1</v>
      </c>
      <c r="D56" s="15">
        <f>$B$34*C56</f>
        <v>349.94644160562655</v>
      </c>
      <c r="E56" t="s">
        <v>84</v>
      </c>
    </row>
    <row r="57" spans="1:12" x14ac:dyDescent="0.25">
      <c r="J57" t="s">
        <v>100</v>
      </c>
    </row>
    <row r="58" spans="1:12" x14ac:dyDescent="0.25">
      <c r="J58" t="s">
        <v>95</v>
      </c>
      <c r="K58" t="s">
        <v>101</v>
      </c>
      <c r="L58" t="s">
        <v>96</v>
      </c>
    </row>
    <row r="59" spans="1:12" x14ac:dyDescent="0.25">
      <c r="J59" t="s">
        <v>103</v>
      </c>
      <c r="K59" t="s">
        <v>102</v>
      </c>
      <c r="L59" t="s">
        <v>104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9</vt:i4>
      </vt:variant>
    </vt:vector>
  </HeadingPairs>
  <TitlesOfParts>
    <vt:vector size="13" baseType="lpstr">
      <vt:lpstr>Overview Tests</vt:lpstr>
      <vt:lpstr>LHAP K17-14</vt:lpstr>
      <vt:lpstr>complex sample cd=10</vt:lpstr>
      <vt:lpstr>complex sample c=0</vt:lpstr>
      <vt:lpstr>'complex sample cd=10'!drdwn_EG</vt:lpstr>
      <vt:lpstr>'LHAP K17-14'!drdwn_EG</vt:lpstr>
      <vt:lpstr>drdwn_EG</vt:lpstr>
      <vt:lpstr>'complex sample cd=10'!drdwn_EP</vt:lpstr>
      <vt:lpstr>'LHAP K17-14'!drdwn_EP</vt:lpstr>
      <vt:lpstr>drdwn_EP</vt:lpstr>
      <vt:lpstr>'complex sample c=0'!Druckbereich</vt:lpstr>
      <vt:lpstr>'complex sample cd=10'!Druckbereich</vt:lpstr>
      <vt:lpstr>'LHAP K17-14'!Druckbereich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2018-03-01T08:57:55Z</dcterms:modified>
</cp:coreProperties>
</file>