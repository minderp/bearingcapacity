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2.xml" ContentType="application/vnd.openxmlformats-officedocument.drawing+xml"/>
  <Override PartName="/xl/charts/chart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DieseArbeitsmappe"/>
  <bookViews>
    <workbookView xWindow="240" yWindow="120" windowWidth="24240" windowHeight="13740"/>
  </bookViews>
  <sheets>
    <sheet name="Vorlage" sheetId="2" r:id="rId1"/>
    <sheet name="Erweiterte Anwendung" sheetId="6" r:id="rId2"/>
  </sheets>
  <functionGroups builtInGroupCount="17"/>
  <definedNames>
    <definedName name="_xlnm.Print_Area" localSheetId="0">Vorlage!$A$1:$G$43</definedName>
  </definedNames>
  <calcPr calcId="145621"/>
  <extLst>
    <ext xmlns:x14="http://schemas.microsoft.com/office/spreadsheetml/2009/9/main" uri="{8193D73E-4604-4355-AFF4-8A2333D13BE4}">
      <x14:definedNames>
        <x14:definedName name="Biegelinie">
          <x14:argumentDescriptions count="7">
            <x14:argumentDescription index="0">x-Koordinate, wo die Verschiebung bestimmt werden soll in m, x=0 am Fundamentrand</x14:argumentDescription>
            <x14:argumentDescription index="1">Länge des Fundaments in m</x14:argumentDescription>
            <x14:argumentDescription index="2">Breite des Fundament in m</x14:argumentDescription>
            <x14:argumentDescription index="3">Steifigkeit des Fundaments EI in kNm2</x14:argumentDescription>
            <x14:argumentDescription index="4">ME-Modul des Baugrunds in kN/m2</x14:argumentDescription>
            <x14:argumentDescription index="5">Bereich mit den Ortskoordinaten der einwirkenden Kräfte in m, x=0 am Fundamentrand</x14:argumentDescription>
            <x14:argumentDescription index="6">Bereich mit den Beträgen der einwirkenden Kräfte in kN</x14:argumentDescription>
          </x14:argumentDescriptions>
        </x14:definedName>
        <x14:definedName name="Moment">
          <x14:argumentDescriptions count="8">
            <x14:argumentDescription index="0">Koordinate, wo das Moment bestimmt werden soll in m, x=0 am Fundamentrand</x14:argumentDescription>
            <x14:argumentDescription index="1">Länge des Fundaments in m</x14:argumentDescription>
            <x14:argumentDescription index="2">Breite des Fundament in m</x14:argumentDescription>
            <x14:argumentDescription index="3">Steifigkeit des Fundaments EI in kNm2</x14:argumentDescription>
            <x14:argumentDescription index="4">ME-Modul des Baugrunds in kN/m2</x14:argumentDescription>
            <x14:argumentDescription index="5">Bereich mit den Ortskoordinaten der einwirkenden Kräfte in m, x=0 am Fundamentrand</x14:argumentDescription>
            <x14:argumentDescription index="6">Bereich mit den Beträgen der einwirkenden Kräfte in kN</x14:argumentDescription>
            <x14:argumentDescription index="7">Optional, Modus WAHR/true-&gt;Spannungstrapezverfahren, sonst BMV [Default=FALSCH/false]</x14:argumentDescription>
          </x14:argumentDescriptions>
        </x14:definedName>
        <x14:definedName name="Querkraft">
          <x14:argumentDescriptions count="8">
            <x14:argumentDescription index="0">Koordinate, wo die Querkraft bestimmt werden soll in. x=0 am Fundamentrand</x14:argumentDescription>
            <x14:argumentDescription index="1">Länge des Fundaments in m</x14:argumentDescription>
            <x14:argumentDescription index="2">Breite des Fundament in m</x14:argumentDescription>
            <x14:argumentDescription index="3">Steifigkeit des Fundaments EI in kNm2</x14:argumentDescription>
            <x14:argumentDescription index="4">ME-Modul des Baugrunds in kN/m2</x14:argumentDescription>
            <x14:argumentDescription index="5">Bereich mit den Ortskoordinaten der einwirkenden Kräfte in m, x=0 am Fundamentrand</x14:argumentDescription>
            <x14:argumentDescription index="6">Bereich mit den Beträgen der einwirkenden Kräfte in kN</x14:argumentDescription>
            <x14:argumentDescription index="7">Optional, Modus WAHR/true-&gt;Spannungstrapezverfahren, sonst BMV [Default=FALSCH/false]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</extLst>
</workbook>
</file>

<file path=xl/calcChain.xml><?xml version="1.0" encoding="utf-8"?>
<calcChain xmlns="http://schemas.openxmlformats.org/spreadsheetml/2006/main">
  <c r="F6" i="2" l="1"/>
  <c r="O3" i="6" l="1"/>
  <c r="P3" i="6"/>
  <c r="Q3" i="6"/>
  <c r="R3" i="6"/>
  <c r="N3" i="6"/>
  <c r="D20" i="6" l="1"/>
  <c r="E20" i="6"/>
  <c r="F20" i="6"/>
  <c r="G20" i="6"/>
  <c r="C20" i="6"/>
  <c r="H10" i="6"/>
  <c r="I10" i="6"/>
  <c r="J10" i="6"/>
  <c r="K10" i="6"/>
  <c r="G10" i="6"/>
  <c r="O2" i="6"/>
  <c r="P2" i="6"/>
  <c r="Q2" i="6"/>
  <c r="R2" i="6"/>
  <c r="N2" i="6"/>
  <c r="L69" i="6" l="1"/>
  <c r="L83" i="6" s="1"/>
  <c r="L97" i="6" s="1"/>
  <c r="L111" i="6" s="1"/>
  <c r="L64" i="6"/>
  <c r="L78" i="6" s="1"/>
  <c r="L92" i="6" s="1"/>
  <c r="L106" i="6" s="1"/>
  <c r="L50" i="6"/>
  <c r="L49" i="6"/>
  <c r="L63" i="6" s="1"/>
  <c r="L77" i="6" s="1"/>
  <c r="L91" i="6" s="1"/>
  <c r="L105" i="6" s="1"/>
  <c r="L47" i="6"/>
  <c r="L61" i="6" s="1"/>
  <c r="L75" i="6" s="1"/>
  <c r="L89" i="6" s="1"/>
  <c r="L103" i="6" s="1"/>
  <c r="L42" i="6"/>
  <c r="L56" i="6" s="1"/>
  <c r="L70" i="6" s="1"/>
  <c r="L84" i="6" s="1"/>
  <c r="L98" i="6" s="1"/>
  <c r="L112" i="6" s="1"/>
  <c r="L41" i="6"/>
  <c r="L55" i="6" s="1"/>
  <c r="L39" i="6"/>
  <c r="L53" i="6" s="1"/>
  <c r="L67" i="6" s="1"/>
  <c r="L81" i="6" s="1"/>
  <c r="L95" i="6" s="1"/>
  <c r="L109" i="6" s="1"/>
  <c r="L38" i="6"/>
  <c r="L52" i="6" s="1"/>
  <c r="L66" i="6" s="1"/>
  <c r="L80" i="6" s="1"/>
  <c r="L94" i="6" s="1"/>
  <c r="L108" i="6" s="1"/>
  <c r="L36" i="6"/>
  <c r="L35" i="6"/>
  <c r="L34" i="6"/>
  <c r="L48" i="6" s="1"/>
  <c r="L62" i="6" s="1"/>
  <c r="L76" i="6" s="1"/>
  <c r="L90" i="6" s="1"/>
  <c r="L104" i="6" s="1"/>
  <c r="L33" i="6"/>
  <c r="L32" i="6"/>
  <c r="L46" i="6" s="1"/>
  <c r="L60" i="6" s="1"/>
  <c r="L74" i="6" s="1"/>
  <c r="L88" i="6" s="1"/>
  <c r="L102" i="6" s="1"/>
  <c r="L116" i="6" s="1"/>
  <c r="L31" i="6"/>
  <c r="L45" i="6" s="1"/>
  <c r="L59" i="6" s="1"/>
  <c r="L73" i="6" s="1"/>
  <c r="L87" i="6" s="1"/>
  <c r="L101" i="6" s="1"/>
  <c r="L115" i="6" s="1"/>
  <c r="L30" i="6"/>
  <c r="L44" i="6" s="1"/>
  <c r="L58" i="6" s="1"/>
  <c r="L72" i="6" s="1"/>
  <c r="L86" i="6" s="1"/>
  <c r="L100" i="6" s="1"/>
  <c r="L114" i="6" s="1"/>
  <c r="L29" i="6"/>
  <c r="L43" i="6" s="1"/>
  <c r="L57" i="6" s="1"/>
  <c r="L71" i="6" s="1"/>
  <c r="L85" i="6" s="1"/>
  <c r="L99" i="6" s="1"/>
  <c r="L113" i="6" s="1"/>
  <c r="L28" i="6"/>
  <c r="L27" i="6"/>
  <c r="L26" i="6"/>
  <c r="L40" i="6" s="1"/>
  <c r="L54" i="6" s="1"/>
  <c r="L68" i="6" s="1"/>
  <c r="L82" i="6" s="1"/>
  <c r="L96" i="6" s="1"/>
  <c r="L110" i="6" s="1"/>
  <c r="L25" i="6"/>
  <c r="M24" i="6"/>
  <c r="L24" i="6"/>
  <c r="L23" i="6"/>
  <c r="L37" i="6" s="1"/>
  <c r="L51" i="6" s="1"/>
  <c r="L65" i="6" s="1"/>
  <c r="L79" i="6" s="1"/>
  <c r="L93" i="6" s="1"/>
  <c r="L107" i="6" s="1"/>
  <c r="M22" i="6"/>
  <c r="L22" i="6"/>
  <c r="B22" i="6"/>
  <c r="L21" i="6"/>
  <c r="M20" i="6"/>
  <c r="L20" i="6"/>
  <c r="L19" i="6"/>
  <c r="M18" i="6"/>
  <c r="M17" i="6"/>
  <c r="M16" i="6"/>
  <c r="M15" i="6"/>
  <c r="B15" i="6"/>
  <c r="M14" i="6"/>
  <c r="B14" i="6"/>
  <c r="M13" i="6"/>
  <c r="B13" i="6"/>
  <c r="M12" i="6"/>
  <c r="M11" i="6"/>
  <c r="M10" i="6"/>
  <c r="M9" i="6"/>
  <c r="M8" i="6"/>
  <c r="M7" i="6"/>
  <c r="M6" i="6"/>
  <c r="M5" i="6"/>
  <c r="M4" i="6"/>
  <c r="G52" i="2"/>
  <c r="B22" i="2"/>
  <c r="F22" i="6"/>
  <c r="G23" i="6"/>
  <c r="O16" i="6"/>
  <c r="N29" i="6"/>
  <c r="R41" i="6"/>
  <c r="Q54" i="6"/>
  <c r="P67" i="6"/>
  <c r="O80" i="6"/>
  <c r="N93" i="6"/>
  <c r="R105" i="6"/>
  <c r="P17" i="6"/>
  <c r="O30" i="6"/>
  <c r="N43" i="6"/>
  <c r="R55" i="6"/>
  <c r="Q68" i="6"/>
  <c r="P81" i="6"/>
  <c r="O94" i="6"/>
  <c r="Q11" i="6"/>
  <c r="O37" i="6"/>
  <c r="R62" i="6"/>
  <c r="P88" i="6"/>
  <c r="P109" i="6"/>
  <c r="O15" i="6"/>
  <c r="R40" i="6"/>
  <c r="P66" i="6"/>
  <c r="N92" i="6"/>
  <c r="O111" i="6"/>
  <c r="Q15" i="6"/>
  <c r="O41" i="6"/>
  <c r="R66" i="6"/>
  <c r="P92" i="6"/>
  <c r="P111" i="6"/>
  <c r="C22" i="6"/>
  <c r="N5" i="6"/>
  <c r="R17" i="6"/>
  <c r="Q30" i="6"/>
  <c r="P43" i="6"/>
  <c r="O56" i="6"/>
  <c r="N69" i="6"/>
  <c r="R81" i="6"/>
  <c r="Q94" i="6"/>
  <c r="O6" i="6"/>
  <c r="N19" i="6"/>
  <c r="R31" i="6"/>
  <c r="Q44" i="6"/>
  <c r="P57" i="6"/>
  <c r="O70" i="6"/>
  <c r="N83" i="6"/>
  <c r="R95" i="6"/>
  <c r="R14" i="6"/>
  <c r="P40" i="6"/>
  <c r="N66" i="6"/>
  <c r="Q91" i="6"/>
  <c r="N111" i="6"/>
  <c r="P18" i="6"/>
  <c r="N44" i="6"/>
  <c r="Q69" i="6"/>
  <c r="O95" i="6"/>
  <c r="R112" i="6"/>
  <c r="R18" i="6"/>
  <c r="P44" i="6"/>
  <c r="N70" i="6"/>
  <c r="Q95" i="6"/>
  <c r="N113" i="6"/>
  <c r="R5" i="6"/>
  <c r="P31" i="6"/>
  <c r="N57" i="6"/>
  <c r="Q82" i="6"/>
  <c r="N7" i="6"/>
  <c r="Q32" i="6"/>
  <c r="O58" i="6"/>
  <c r="R83" i="6"/>
  <c r="P16" i="6"/>
  <c r="Q67" i="6"/>
  <c r="R111" i="6"/>
  <c r="Q45" i="6"/>
  <c r="R96" i="6"/>
  <c r="P20" i="6"/>
  <c r="Q71" i="6"/>
  <c r="R113" i="6"/>
  <c r="R28" i="6"/>
  <c r="P54" i="6"/>
  <c r="N80" i="6"/>
  <c r="N114" i="6"/>
  <c r="E23" i="6"/>
  <c r="O28" i="6"/>
  <c r="R53" i="6"/>
  <c r="P79" i="6"/>
  <c r="N105" i="6"/>
  <c r="P29" i="6"/>
  <c r="N55" i="6"/>
  <c r="Q80" i="6"/>
  <c r="N10" i="6"/>
  <c r="O61" i="6"/>
  <c r="Q108" i="6"/>
  <c r="O39" i="6"/>
  <c r="P90" i="6"/>
  <c r="N14" i="6"/>
  <c r="O65" i="6"/>
  <c r="Q110" i="6"/>
  <c r="Q25" i="6"/>
  <c r="O51" i="6"/>
  <c r="R76" i="6"/>
  <c r="Q107" i="6"/>
  <c r="Q4" i="6"/>
  <c r="N17" i="6"/>
  <c r="Q42" i="6"/>
  <c r="O68" i="6"/>
  <c r="R93" i="6"/>
  <c r="G25" i="6"/>
  <c r="R9" i="6"/>
  <c r="Q22" i="6"/>
  <c r="P35" i="6"/>
  <c r="O48" i="6"/>
  <c r="N61" i="6"/>
  <c r="R73" i="6"/>
  <c r="Q86" i="6"/>
  <c r="P99" i="6"/>
  <c r="N11" i="6"/>
  <c r="R23" i="6"/>
  <c r="Q36" i="6"/>
  <c r="P49" i="6"/>
  <c r="O62" i="6"/>
  <c r="N75" i="6"/>
  <c r="R87" i="6"/>
  <c r="Q100" i="6"/>
  <c r="P24" i="6"/>
  <c r="N50" i="6"/>
  <c r="Q75" i="6"/>
  <c r="O101" i="6"/>
  <c r="R115" i="6"/>
  <c r="N28" i="6"/>
  <c r="Q53" i="6"/>
  <c r="O79" i="6"/>
  <c r="P104" i="6"/>
  <c r="O83" i="6"/>
  <c r="P28" i="6"/>
  <c r="N54" i="6"/>
  <c r="Q79" i="6"/>
  <c r="Q104" i="6"/>
  <c r="G22" i="6"/>
  <c r="E24" i="6"/>
  <c r="P11" i="6"/>
  <c r="O24" i="6"/>
  <c r="N37" i="6"/>
  <c r="R49" i="6"/>
  <c r="Q62" i="6"/>
  <c r="P75" i="6"/>
  <c r="O88" i="6"/>
  <c r="N101" i="6"/>
  <c r="Q12" i="6"/>
  <c r="P25" i="6"/>
  <c r="O38" i="6"/>
  <c r="N51" i="6"/>
  <c r="R63" i="6"/>
  <c r="Q76" i="6"/>
  <c r="P89" i="6"/>
  <c r="O102" i="6"/>
  <c r="Q27" i="6"/>
  <c r="O53" i="6"/>
  <c r="R78" i="6"/>
  <c r="N104" i="6"/>
  <c r="Q5" i="6"/>
  <c r="O31" i="6"/>
  <c r="R56" i="6"/>
  <c r="P82" i="6"/>
  <c r="P106" i="6"/>
  <c r="N6" i="6"/>
  <c r="Q31" i="6"/>
  <c r="O57" i="6"/>
  <c r="R82" i="6"/>
  <c r="Q106" i="6"/>
  <c r="F24" i="6"/>
  <c r="Q18" i="6"/>
  <c r="O44" i="6"/>
  <c r="R69" i="6"/>
  <c r="P95" i="6"/>
  <c r="R19" i="6"/>
  <c r="P45" i="6"/>
  <c r="N71" i="6"/>
  <c r="Q96" i="6"/>
  <c r="N42" i="6"/>
  <c r="O93" i="6"/>
  <c r="N20" i="6"/>
  <c r="O71" i="6"/>
  <c r="Q113" i="6"/>
  <c r="N46" i="6"/>
  <c r="O97" i="6"/>
  <c r="N16" i="6"/>
  <c r="Q41" i="6"/>
  <c r="O67" i="6"/>
  <c r="N110" i="6"/>
  <c r="R100" i="6"/>
  <c r="P15" i="6"/>
  <c r="N41" i="6"/>
  <c r="Q66" i="6"/>
  <c r="O92" i="6"/>
  <c r="Q16" i="6"/>
  <c r="O42" i="6"/>
  <c r="R67" i="6"/>
  <c r="P93" i="6"/>
  <c r="Q35" i="6"/>
  <c r="R86" i="6"/>
  <c r="Q13" i="6"/>
  <c r="R64" i="6"/>
  <c r="P110" i="6"/>
  <c r="Q39" i="6"/>
  <c r="R90" i="6"/>
  <c r="R12" i="6"/>
  <c r="P38" i="6"/>
  <c r="N64" i="6"/>
  <c r="P102" i="6"/>
  <c r="R114" i="6"/>
  <c r="C23" i="6"/>
  <c r="R29" i="6"/>
  <c r="P55" i="6"/>
  <c r="N81" i="6"/>
  <c r="P5" i="6"/>
  <c r="N31" i="6"/>
  <c r="Q56" i="6"/>
  <c r="O82" i="6"/>
  <c r="O13" i="6"/>
  <c r="P64" i="6"/>
  <c r="O110" i="6"/>
  <c r="D24" i="6"/>
  <c r="N97" i="6"/>
  <c r="O98" i="6"/>
  <c r="O55" i="6"/>
  <c r="N30" i="6"/>
  <c r="N8" i="6"/>
  <c r="O59" i="6"/>
  <c r="R104" i="6"/>
  <c r="Q26" i="6"/>
  <c r="R27" i="6"/>
  <c r="Q61" i="6"/>
  <c r="O11" i="6"/>
  <c r="C25" i="6"/>
  <c r="R25" i="6"/>
  <c r="P51" i="6"/>
  <c r="N77" i="6"/>
  <c r="Q102" i="6"/>
  <c r="N27" i="6"/>
  <c r="Q52" i="6"/>
  <c r="O78" i="6"/>
  <c r="O5" i="6"/>
  <c r="P56" i="6"/>
  <c r="O106" i="6"/>
  <c r="P34" i="6"/>
  <c r="Q85" i="6"/>
  <c r="O9" i="6"/>
  <c r="P60" i="6"/>
  <c r="O108" i="6"/>
  <c r="D23" i="6"/>
  <c r="P27" i="6"/>
  <c r="N53" i="6"/>
  <c r="Q78" i="6"/>
  <c r="O104" i="6"/>
  <c r="Q28" i="6"/>
  <c r="O54" i="6"/>
  <c r="R79" i="6"/>
  <c r="P8" i="6"/>
  <c r="Q59" i="6"/>
  <c r="R107" i="6"/>
  <c r="Q37" i="6"/>
  <c r="R88" i="6"/>
  <c r="P12" i="6"/>
  <c r="Q63" i="6"/>
  <c r="R109" i="6"/>
  <c r="N25" i="6"/>
  <c r="O76" i="6"/>
  <c r="O26" i="6"/>
  <c r="P77" i="6"/>
  <c r="R54" i="6"/>
  <c r="R32" i="6"/>
  <c r="Q7" i="6"/>
  <c r="P107" i="6"/>
  <c r="N48" i="6"/>
  <c r="Q97" i="6"/>
  <c r="R21" i="6"/>
  <c r="N73" i="6"/>
  <c r="N23" i="6"/>
  <c r="O74" i="6"/>
  <c r="P48" i="6"/>
  <c r="P26" i="6"/>
  <c r="R116" i="6"/>
  <c r="Q103" i="6"/>
  <c r="R44" i="6"/>
  <c r="P116" i="6"/>
  <c r="Q10" i="6"/>
  <c r="R61" i="6"/>
  <c r="R11" i="6"/>
  <c r="R43" i="6"/>
  <c r="R75" i="6"/>
  <c r="N26" i="6"/>
  <c r="N90" i="6"/>
  <c r="Q29" i="6"/>
  <c r="P21" i="6"/>
  <c r="P96" i="6"/>
  <c r="N88" i="6"/>
  <c r="R20" i="6"/>
  <c r="P86" i="6"/>
  <c r="F23" i="6"/>
  <c r="N79" i="6"/>
  <c r="P36" i="6"/>
  <c r="N96" i="6"/>
  <c r="Q58" i="6"/>
  <c r="R59" i="6"/>
  <c r="P113" i="6"/>
  <c r="N112" i="6"/>
  <c r="N94" i="6"/>
  <c r="N40" i="6"/>
  <c r="R106" i="6"/>
  <c r="R13" i="6"/>
  <c r="N15" i="6"/>
  <c r="P32" i="6"/>
  <c r="P74" i="6"/>
  <c r="O49" i="6"/>
  <c r="Q17" i="6"/>
  <c r="R68" i="6"/>
  <c r="N106" i="6"/>
  <c r="N36" i="6"/>
  <c r="N109" i="6"/>
  <c r="R103" i="6"/>
  <c r="R39" i="6"/>
  <c r="N86" i="6"/>
  <c r="O40" i="6"/>
  <c r="P91" i="6"/>
  <c r="R15" i="6"/>
  <c r="N67" i="6"/>
  <c r="N34" i="6"/>
  <c r="N12" i="6"/>
  <c r="Q109" i="6"/>
  <c r="O89" i="6"/>
  <c r="Q50" i="6"/>
  <c r="R51" i="6"/>
  <c r="N103" i="6"/>
  <c r="N84" i="6"/>
  <c r="P22" i="6"/>
  <c r="G24" i="6"/>
  <c r="Q98" i="6"/>
  <c r="R99" i="6"/>
  <c r="Q77" i="6"/>
  <c r="O19" i="6"/>
  <c r="O109" i="6"/>
  <c r="P87" i="6"/>
  <c r="N63" i="6"/>
  <c r="N95" i="6"/>
  <c r="Q116" i="6"/>
  <c r="Q72" i="6"/>
  <c r="O81" i="6"/>
  <c r="P112" i="6"/>
  <c r="N107" i="6"/>
  <c r="P7" i="6"/>
  <c r="Q6" i="6"/>
  <c r="O32" i="6"/>
  <c r="R57" i="6"/>
  <c r="P83" i="6"/>
  <c r="R7" i="6"/>
  <c r="P33" i="6"/>
  <c r="N59" i="6"/>
  <c r="Q84" i="6"/>
  <c r="N18" i="6"/>
  <c r="O69" i="6"/>
  <c r="Q112" i="6"/>
  <c r="O47" i="6"/>
  <c r="P98" i="6"/>
  <c r="N22" i="6"/>
  <c r="O73" i="6"/>
  <c r="Q114" i="6"/>
  <c r="O8" i="6"/>
  <c r="R33" i="6"/>
  <c r="P59" i="6"/>
  <c r="N85" i="6"/>
  <c r="P9" i="6"/>
  <c r="N35" i="6"/>
  <c r="Q60" i="6"/>
  <c r="O86" i="6"/>
  <c r="O21" i="6"/>
  <c r="P72" i="6"/>
  <c r="O114" i="6"/>
  <c r="P50" i="6"/>
  <c r="Q101" i="6"/>
  <c r="O25" i="6"/>
  <c r="P76" i="6"/>
  <c r="O116" i="6"/>
  <c r="R37" i="6"/>
  <c r="N89" i="6"/>
  <c r="N39" i="6"/>
  <c r="O90" i="6"/>
  <c r="P80" i="6"/>
  <c r="P58" i="6"/>
  <c r="O33" i="6"/>
  <c r="Q9" i="6"/>
  <c r="R60" i="6"/>
  <c r="P108" i="6"/>
  <c r="Q34" i="6"/>
  <c r="R85" i="6"/>
  <c r="R35" i="6"/>
  <c r="N87" i="6"/>
  <c r="N74" i="6"/>
  <c r="N52" i="6"/>
  <c r="R26" i="6"/>
  <c r="P6" i="6"/>
  <c r="Q57" i="6"/>
  <c r="O99" i="6"/>
  <c r="P23" i="6"/>
  <c r="Q74" i="6"/>
  <c r="O18" i="6"/>
  <c r="O50" i="6"/>
  <c r="Q88" i="6"/>
  <c r="R38" i="6"/>
  <c r="R102" i="6"/>
  <c r="O20" i="6"/>
  <c r="N47" i="6"/>
  <c r="O23" i="6"/>
  <c r="Q55" i="6"/>
  <c r="Q33" i="6"/>
  <c r="O91" i="6"/>
  <c r="O52" i="6"/>
  <c r="R6" i="6"/>
  <c r="Q87" i="6"/>
  <c r="Q111" i="6"/>
  <c r="O84" i="6"/>
  <c r="P85" i="6"/>
  <c r="P42" i="6"/>
  <c r="O17" i="6"/>
  <c r="O112" i="6"/>
  <c r="R52" i="6"/>
  <c r="R110" i="6"/>
  <c r="P39" i="6"/>
  <c r="Q40" i="6"/>
  <c r="Q83" i="6"/>
  <c r="N100" i="6"/>
  <c r="R74" i="6"/>
  <c r="P30" i="6"/>
  <c r="Q81" i="6"/>
  <c r="R4" i="6"/>
  <c r="O87" i="6"/>
  <c r="N24" i="6"/>
  <c r="Q115" i="6"/>
  <c r="E22" i="6"/>
  <c r="N13" i="6"/>
  <c r="Q38" i="6"/>
  <c r="O64" i="6"/>
  <c r="R89" i="6"/>
  <c r="O14" i="6"/>
  <c r="P65" i="6"/>
  <c r="N91" i="6"/>
  <c r="R30" i="6"/>
  <c r="N82" i="6"/>
  <c r="R8" i="6"/>
  <c r="N60" i="6"/>
  <c r="N108" i="6"/>
  <c r="R34" i="6"/>
  <c r="D22" i="6"/>
  <c r="Q14" i="6"/>
  <c r="R65" i="6"/>
  <c r="P41" i="6"/>
  <c r="Q92" i="6"/>
  <c r="O85" i="6"/>
  <c r="O63" i="6"/>
  <c r="N38" i="6"/>
  <c r="E25" i="6"/>
  <c r="R101" i="6"/>
  <c r="O105" i="6"/>
  <c r="R58" i="6"/>
  <c r="Q73" i="6"/>
  <c r="P47" i="6"/>
  <c r="Q48" i="6"/>
  <c r="Q99" i="6"/>
  <c r="P52" i="6"/>
  <c r="P70" i="6"/>
  <c r="O36" i="6"/>
  <c r="Q24" i="6"/>
  <c r="Q51" i="6"/>
  <c r="R45" i="6"/>
  <c r="R80" i="6"/>
  <c r="P46" i="6"/>
  <c r="R77" i="6"/>
  <c r="R36" i="6"/>
  <c r="P19" i="6"/>
  <c r="Q20" i="6"/>
  <c r="Q43" i="6"/>
  <c r="P114" i="6"/>
  <c r="N21" i="6"/>
  <c r="O22" i="6"/>
  <c r="R46" i="6"/>
  <c r="N116" i="6"/>
  <c r="P63" i="6"/>
  <c r="O7" i="6"/>
  <c r="Q89" i="6"/>
  <c r="P61" i="6"/>
  <c r="N78" i="6"/>
  <c r="N49" i="6"/>
  <c r="P101" i="6"/>
  <c r="O45" i="6"/>
  <c r="P4" i="6"/>
  <c r="N33" i="6"/>
  <c r="R70" i="6"/>
  <c r="P68" i="6"/>
  <c r="P78" i="6"/>
  <c r="Q90" i="6"/>
  <c r="R48" i="6"/>
  <c r="P115" i="6"/>
  <c r="R92" i="6"/>
  <c r="N62" i="6"/>
  <c r="O72" i="6"/>
  <c r="N102" i="6"/>
  <c r="P84" i="6"/>
  <c r="N115" i="6"/>
  <c r="P37" i="6"/>
  <c r="Q105" i="6"/>
  <c r="O34" i="6"/>
  <c r="O27" i="6"/>
  <c r="R91" i="6"/>
  <c r="N56" i="6"/>
  <c r="O75" i="6"/>
  <c r="O96" i="6"/>
  <c r="P97" i="6"/>
  <c r="F25" i="6"/>
  <c r="N99" i="6"/>
  <c r="O12" i="6"/>
  <c r="O10" i="6"/>
  <c r="D25" i="6"/>
  <c r="P71" i="6"/>
  <c r="N72" i="6"/>
  <c r="Q19" i="6"/>
  <c r="Q65" i="6"/>
  <c r="P100" i="6"/>
  <c r="R10" i="6"/>
  <c r="N45" i="6"/>
  <c r="O46" i="6"/>
  <c r="R94" i="6"/>
  <c r="Q47" i="6"/>
  <c r="Q46" i="6"/>
  <c r="R47" i="6"/>
  <c r="N98" i="6"/>
  <c r="R50" i="6"/>
  <c r="P13" i="6"/>
  <c r="O107" i="6"/>
  <c r="N9" i="6"/>
  <c r="R22" i="6"/>
  <c r="N32" i="6"/>
  <c r="O100" i="6"/>
  <c r="O77" i="6"/>
  <c r="P105" i="6"/>
  <c r="P103" i="6"/>
  <c r="Q8" i="6"/>
  <c r="N68" i="6"/>
  <c r="P14" i="6"/>
  <c r="P94" i="6"/>
  <c r="O66" i="6"/>
  <c r="O115" i="6"/>
  <c r="O43" i="6"/>
  <c r="P53" i="6"/>
  <c r="Q49" i="6"/>
  <c r="Q70" i="6"/>
  <c r="R71" i="6"/>
  <c r="Q21" i="6"/>
  <c r="R98" i="6"/>
  <c r="P73" i="6"/>
  <c r="R24" i="6"/>
  <c r="Q64" i="6"/>
  <c r="O60" i="6"/>
  <c r="R84" i="6"/>
  <c r="R16" i="6"/>
  <c r="R108" i="6"/>
  <c r="Q93" i="6"/>
  <c r="O4" i="6"/>
  <c r="Q23" i="6"/>
  <c r="N58" i="6"/>
  <c r="C24" i="6"/>
  <c r="R72" i="6"/>
  <c r="R97" i="6"/>
  <c r="N76" i="6"/>
  <c r="O29" i="6"/>
  <c r="O35" i="6"/>
  <c r="O103" i="6"/>
  <c r="P69" i="6"/>
  <c r="P62" i="6"/>
  <c r="R42" i="6"/>
  <c r="N65" i="6"/>
  <c r="P10" i="6"/>
  <c r="O113" i="6"/>
  <c r="N4" i="6"/>
  <c r="M32" i="6" l="1"/>
  <c r="M31" i="6"/>
  <c r="M30" i="6"/>
  <c r="M29" i="6"/>
  <c r="M28" i="6"/>
  <c r="M27" i="6"/>
  <c r="M26" i="6"/>
  <c r="M25" i="6"/>
  <c r="M19" i="6"/>
  <c r="M21" i="6"/>
  <c r="M23" i="6"/>
  <c r="I20" i="2"/>
  <c r="I34" i="2" s="1"/>
  <c r="I21" i="2"/>
  <c r="I35" i="2" s="1"/>
  <c r="I49" i="2" s="1"/>
  <c r="I63" i="2" s="1"/>
  <c r="I77" i="2" s="1"/>
  <c r="I91" i="2" s="1"/>
  <c r="I105" i="2" s="1"/>
  <c r="I22" i="2"/>
  <c r="I36" i="2" s="1"/>
  <c r="I50" i="2" s="1"/>
  <c r="I64" i="2" s="1"/>
  <c r="I78" i="2" s="1"/>
  <c r="I92" i="2" s="1"/>
  <c r="I106" i="2" s="1"/>
  <c r="I23" i="2"/>
  <c r="I37" i="2" s="1"/>
  <c r="I51" i="2" s="1"/>
  <c r="I65" i="2" s="1"/>
  <c r="I79" i="2" s="1"/>
  <c r="I93" i="2" s="1"/>
  <c r="I107" i="2" s="1"/>
  <c r="I24" i="2"/>
  <c r="I38" i="2" s="1"/>
  <c r="I52" i="2" s="1"/>
  <c r="I66" i="2" s="1"/>
  <c r="I80" i="2" s="1"/>
  <c r="I94" i="2" s="1"/>
  <c r="I108" i="2" s="1"/>
  <c r="I25" i="2"/>
  <c r="I39" i="2" s="1"/>
  <c r="I53" i="2" s="1"/>
  <c r="I67" i="2" s="1"/>
  <c r="I81" i="2" s="1"/>
  <c r="I95" i="2" s="1"/>
  <c r="I109" i="2" s="1"/>
  <c r="I26" i="2"/>
  <c r="I40" i="2" s="1"/>
  <c r="I54" i="2" s="1"/>
  <c r="I68" i="2" s="1"/>
  <c r="I82" i="2" s="1"/>
  <c r="I96" i="2" s="1"/>
  <c r="I110" i="2" s="1"/>
  <c r="I27" i="2"/>
  <c r="I41" i="2" s="1"/>
  <c r="I55" i="2" s="1"/>
  <c r="I69" i="2" s="1"/>
  <c r="I83" i="2" s="1"/>
  <c r="I97" i="2" s="1"/>
  <c r="I111" i="2" s="1"/>
  <c r="I28" i="2"/>
  <c r="I42" i="2" s="1"/>
  <c r="I56" i="2" s="1"/>
  <c r="I70" i="2" s="1"/>
  <c r="I84" i="2" s="1"/>
  <c r="I98" i="2" s="1"/>
  <c r="I112" i="2" s="1"/>
  <c r="I29" i="2"/>
  <c r="I43" i="2" s="1"/>
  <c r="I57" i="2" s="1"/>
  <c r="I71" i="2" s="1"/>
  <c r="I85" i="2" s="1"/>
  <c r="I99" i="2" s="1"/>
  <c r="I113" i="2" s="1"/>
  <c r="I30" i="2"/>
  <c r="I44" i="2" s="1"/>
  <c r="I58" i="2" s="1"/>
  <c r="I72" i="2" s="1"/>
  <c r="I86" i="2" s="1"/>
  <c r="I100" i="2" s="1"/>
  <c r="I114" i="2" s="1"/>
  <c r="I31" i="2"/>
  <c r="I45" i="2" s="1"/>
  <c r="I59" i="2" s="1"/>
  <c r="I73" i="2" s="1"/>
  <c r="I87" i="2" s="1"/>
  <c r="I101" i="2" s="1"/>
  <c r="I115" i="2" s="1"/>
  <c r="I32" i="2"/>
  <c r="I46" i="2" s="1"/>
  <c r="I60" i="2" s="1"/>
  <c r="I74" i="2" s="1"/>
  <c r="I88" i="2" s="1"/>
  <c r="I102" i="2" s="1"/>
  <c r="I116" i="2" s="1"/>
  <c r="J12" i="2"/>
  <c r="J11" i="2"/>
  <c r="J10" i="2"/>
  <c r="J9" i="2"/>
  <c r="I19" i="2"/>
  <c r="I33" i="2" s="1"/>
  <c r="I47" i="2" s="1"/>
  <c r="I61" i="2" s="1"/>
  <c r="I75" i="2" s="1"/>
  <c r="M46" i="6" l="1"/>
  <c r="M45" i="6"/>
  <c r="M44" i="6"/>
  <c r="M43" i="6"/>
  <c r="M42" i="6"/>
  <c r="M41" i="6"/>
  <c r="M40" i="6"/>
  <c r="M39" i="6"/>
  <c r="M38" i="6"/>
  <c r="M37" i="6"/>
  <c r="M36" i="6"/>
  <c r="M35" i="6"/>
  <c r="M34" i="6"/>
  <c r="M33" i="6"/>
  <c r="I48" i="2"/>
  <c r="I62" i="2" s="1"/>
  <c r="I76" i="2" s="1"/>
  <c r="I90" i="2" s="1"/>
  <c r="I104" i="2" s="1"/>
  <c r="I89" i="2"/>
  <c r="I103" i="2" s="1"/>
  <c r="J5" i="2"/>
  <c r="J6" i="2"/>
  <c r="J7" i="2"/>
  <c r="J8" i="2"/>
  <c r="J13" i="2"/>
  <c r="J14" i="2"/>
  <c r="J15" i="2"/>
  <c r="J16" i="2"/>
  <c r="J17" i="2"/>
  <c r="J18" i="2"/>
  <c r="J19" i="2" s="1"/>
  <c r="J20" i="2" s="1"/>
  <c r="J21" i="2" s="1"/>
  <c r="J22" i="2" s="1"/>
  <c r="J23" i="2" s="1"/>
  <c r="J24" i="2" s="1"/>
  <c r="J25" i="2" s="1"/>
  <c r="J26" i="2" s="1"/>
  <c r="J27" i="2" s="1"/>
  <c r="J28" i="2" s="1"/>
  <c r="J29" i="2" s="1"/>
  <c r="J30" i="2" s="1"/>
  <c r="J31" i="2" s="1"/>
  <c r="J32" i="2" s="1"/>
  <c r="J33" i="2" s="1"/>
  <c r="J34" i="2" s="1"/>
  <c r="J35" i="2" s="1"/>
  <c r="J36" i="2" s="1"/>
  <c r="J37" i="2" s="1"/>
  <c r="J38" i="2" s="1"/>
  <c r="J39" i="2" s="1"/>
  <c r="J40" i="2" s="1"/>
  <c r="J41" i="2" s="1"/>
  <c r="J42" i="2" s="1"/>
  <c r="J43" i="2" s="1"/>
  <c r="J44" i="2" s="1"/>
  <c r="J45" i="2" s="1"/>
  <c r="J46" i="2" s="1"/>
  <c r="J47" i="2" s="1"/>
  <c r="J48" i="2" s="1"/>
  <c r="J49" i="2" s="1"/>
  <c r="J50" i="2" s="1"/>
  <c r="J51" i="2" s="1"/>
  <c r="J52" i="2" s="1"/>
  <c r="J53" i="2" s="1"/>
  <c r="J54" i="2" s="1"/>
  <c r="J55" i="2" s="1"/>
  <c r="J56" i="2" s="1"/>
  <c r="J57" i="2" s="1"/>
  <c r="J58" i="2" s="1"/>
  <c r="J59" i="2" s="1"/>
  <c r="J60" i="2" s="1"/>
  <c r="J61" i="2" s="1"/>
  <c r="J62" i="2" s="1"/>
  <c r="J63" i="2" s="1"/>
  <c r="J64" i="2" s="1"/>
  <c r="J65" i="2" s="1"/>
  <c r="J66" i="2" s="1"/>
  <c r="J67" i="2" s="1"/>
  <c r="J68" i="2" s="1"/>
  <c r="J69" i="2" s="1"/>
  <c r="J70" i="2" s="1"/>
  <c r="J71" i="2" s="1"/>
  <c r="J72" i="2" s="1"/>
  <c r="J73" i="2" s="1"/>
  <c r="J74" i="2" s="1"/>
  <c r="J4" i="2"/>
  <c r="M47" i="6" l="1"/>
  <c r="B14" i="2"/>
  <c r="B15" i="2" s="1"/>
  <c r="C22" i="2"/>
  <c r="K8" i="2"/>
  <c r="C23" i="2"/>
  <c r="F22" i="2"/>
  <c r="M48" i="6" l="1"/>
  <c r="J75" i="2"/>
  <c r="J76" i="2" s="1"/>
  <c r="J77" i="2" s="1"/>
  <c r="J78" i="2" s="1"/>
  <c r="J79" i="2" s="1"/>
  <c r="J80" i="2" s="1"/>
  <c r="J81" i="2" s="1"/>
  <c r="J82" i="2" s="1"/>
  <c r="J83" i="2" s="1"/>
  <c r="J84" i="2" s="1"/>
  <c r="J85" i="2" s="1"/>
  <c r="J86" i="2" s="1"/>
  <c r="J87" i="2" s="1"/>
  <c r="J88" i="2" s="1"/>
  <c r="J89" i="2" s="1"/>
  <c r="J90" i="2" s="1"/>
  <c r="J91" i="2" s="1"/>
  <c r="J92" i="2" s="1"/>
  <c r="J93" i="2" s="1"/>
  <c r="J94" i="2" s="1"/>
  <c r="J95" i="2" s="1"/>
  <c r="J96" i="2" s="1"/>
  <c r="J97" i="2" s="1"/>
  <c r="J98" i="2" s="1"/>
  <c r="J99" i="2" s="1"/>
  <c r="J100" i="2" s="1"/>
  <c r="J101" i="2" s="1"/>
  <c r="J102" i="2" s="1"/>
  <c r="B13" i="2"/>
  <c r="M49" i="6" l="1"/>
  <c r="J104" i="2"/>
  <c r="J108" i="2"/>
  <c r="J112" i="2"/>
  <c r="J116" i="2"/>
  <c r="J109" i="2"/>
  <c r="J106" i="2"/>
  <c r="J110" i="2"/>
  <c r="J114" i="2"/>
  <c r="J107" i="2"/>
  <c r="J111" i="2"/>
  <c r="J115" i="2"/>
  <c r="J105" i="2"/>
  <c r="J113" i="2"/>
  <c r="J103" i="2"/>
  <c r="B16" i="2"/>
  <c r="M50" i="6" l="1"/>
  <c r="B17" i="2"/>
  <c r="B18" i="2"/>
  <c r="M51" i="6" l="1"/>
  <c r="N47" i="2"/>
  <c r="L85" i="2"/>
  <c r="K64" i="2"/>
  <c r="N65" i="2"/>
  <c r="N48" i="2"/>
  <c r="K99" i="2"/>
  <c r="O92" i="2"/>
  <c r="N43" i="2"/>
  <c r="L54" i="2"/>
  <c r="L60" i="2"/>
  <c r="L34" i="2"/>
  <c r="L18" i="2"/>
  <c r="O24" i="2"/>
  <c r="K81" i="2"/>
  <c r="K85" i="2"/>
  <c r="O85" i="2"/>
  <c r="N78" i="2"/>
  <c r="F23" i="2"/>
  <c r="L98" i="2"/>
  <c r="O13" i="2"/>
  <c r="K17" i="2"/>
  <c r="N4" i="2"/>
  <c r="O77" i="2"/>
  <c r="L50" i="2"/>
  <c r="N110" i="2"/>
  <c r="L104" i="2"/>
  <c r="N106" i="2"/>
  <c r="N104" i="2"/>
  <c r="N91" i="2"/>
  <c r="N21" i="2"/>
  <c r="L40" i="2"/>
  <c r="N13" i="2"/>
  <c r="N98" i="2"/>
  <c r="K73" i="2"/>
  <c r="L82" i="2"/>
  <c r="L87" i="2"/>
  <c r="O60" i="2"/>
  <c r="N54" i="2"/>
  <c r="L21" i="2"/>
  <c r="O98" i="2"/>
  <c r="N99" i="2"/>
  <c r="K11" i="2"/>
  <c r="N95" i="2"/>
  <c r="K22" i="2"/>
  <c r="L68" i="2"/>
  <c r="K12" i="2"/>
  <c r="O32" i="2"/>
  <c r="N37" i="2"/>
  <c r="O100" i="2"/>
  <c r="L33" i="2"/>
  <c r="O49" i="2"/>
  <c r="O18" i="2"/>
  <c r="K94" i="2"/>
  <c r="L77" i="2"/>
  <c r="N62" i="2"/>
  <c r="K26" i="2"/>
  <c r="N103" i="2"/>
  <c r="O109" i="2"/>
  <c r="K108" i="2"/>
  <c r="K105" i="2"/>
  <c r="N25" i="2"/>
  <c r="L48" i="2"/>
  <c r="L24" i="2"/>
  <c r="L53" i="2"/>
  <c r="N55" i="2"/>
  <c r="N18" i="2"/>
  <c r="K84" i="2"/>
  <c r="L25" i="2"/>
  <c r="N66" i="2"/>
  <c r="L66" i="2"/>
  <c r="L81" i="2"/>
  <c r="O35" i="2"/>
  <c r="L43" i="2"/>
  <c r="N64" i="2"/>
  <c r="K110" i="2"/>
  <c r="K116" i="2"/>
  <c r="O67" i="2"/>
  <c r="L19" i="2"/>
  <c r="O36" i="2"/>
  <c r="N52" i="2"/>
  <c r="N105" i="2"/>
  <c r="N9" i="2"/>
  <c r="N82" i="2"/>
  <c r="L12" i="2"/>
  <c r="L64" i="2"/>
  <c r="K50" i="2"/>
  <c r="L97" i="2"/>
  <c r="L75" i="2"/>
  <c r="L13" i="2"/>
  <c r="N73" i="2"/>
  <c r="K43" i="2"/>
  <c r="K103" i="2"/>
  <c r="N116" i="2"/>
  <c r="O80" i="2"/>
  <c r="O95" i="2"/>
  <c r="O91" i="2"/>
  <c r="K79" i="2"/>
  <c r="L78" i="2"/>
  <c r="N16" i="2"/>
  <c r="K23" i="2"/>
  <c r="K98" i="2"/>
  <c r="L41" i="2"/>
  <c r="O43" i="2"/>
  <c r="N114" i="2"/>
  <c r="O107" i="2"/>
  <c r="K34" i="2"/>
  <c r="N15" i="2"/>
  <c r="O59" i="2"/>
  <c r="N38" i="2"/>
  <c r="N79" i="2"/>
  <c r="N88" i="2"/>
  <c r="N19" i="2"/>
  <c r="N108" i="2"/>
  <c r="O79" i="2"/>
  <c r="N50" i="2"/>
  <c r="L27" i="2"/>
  <c r="L31" i="2"/>
  <c r="N28" i="2"/>
  <c r="O33" i="2"/>
  <c r="O97" i="2"/>
  <c r="N67" i="2"/>
  <c r="O70" i="2"/>
  <c r="N71" i="2"/>
  <c r="O66" i="2"/>
  <c r="O81" i="2"/>
  <c r="L63" i="2"/>
  <c r="N76" i="2"/>
  <c r="N24" i="2"/>
  <c r="O54" i="2"/>
  <c r="O9" i="2"/>
  <c r="N10" i="2"/>
  <c r="O75" i="2"/>
  <c r="K38" i="2"/>
  <c r="L52" i="2"/>
  <c r="N33" i="2"/>
  <c r="K40" i="2"/>
  <c r="N41" i="2"/>
  <c r="K32" i="2"/>
  <c r="O86" i="2"/>
  <c r="L73" i="2"/>
  <c r="N80" i="2"/>
  <c r="K87" i="2"/>
  <c r="O16" i="2"/>
  <c r="O101" i="2"/>
  <c r="L4" i="2"/>
  <c r="N44" i="2"/>
  <c r="L22" i="2"/>
  <c r="O21" i="2"/>
  <c r="K92" i="2"/>
  <c r="L76" i="2"/>
  <c r="N6" i="2"/>
  <c r="N113" i="2"/>
  <c r="L105" i="2"/>
  <c r="N109" i="2"/>
  <c r="O113" i="2"/>
  <c r="K9" i="2"/>
  <c r="K28" i="2"/>
  <c r="K29" i="2"/>
  <c r="O65" i="2"/>
  <c r="L37" i="2"/>
  <c r="O31" i="2"/>
  <c r="N36" i="2"/>
  <c r="O39" i="2"/>
  <c r="O74" i="2"/>
  <c r="K96" i="2"/>
  <c r="O61" i="2"/>
  <c r="L49" i="2"/>
  <c r="L51" i="2"/>
  <c r="L55" i="2"/>
  <c r="L70" i="2"/>
  <c r="N57" i="2"/>
  <c r="N27" i="2"/>
  <c r="L83" i="2"/>
  <c r="L62" i="2"/>
  <c r="L67" i="2"/>
  <c r="L6" i="2"/>
  <c r="O40" i="2"/>
  <c r="N61" i="2"/>
  <c r="L88" i="2"/>
  <c r="K90" i="2"/>
  <c r="O102" i="2"/>
  <c r="O57" i="2"/>
  <c r="L10" i="2"/>
  <c r="L106" i="2"/>
  <c r="K115" i="2"/>
  <c r="O112" i="2"/>
  <c r="O105" i="2"/>
  <c r="N11" i="2"/>
  <c r="L56" i="2"/>
  <c r="K77" i="2"/>
  <c r="O96" i="2"/>
  <c r="O10" i="2"/>
  <c r="N77" i="2"/>
  <c r="K100" i="2"/>
  <c r="O83" i="2"/>
  <c r="L58" i="2"/>
  <c r="L71" i="2"/>
  <c r="O82" i="2"/>
  <c r="O28" i="2"/>
  <c r="N69" i="2"/>
  <c r="O62" i="2"/>
  <c r="O104" i="2"/>
  <c r="N107" i="2"/>
  <c r="O45" i="2"/>
  <c r="L35" i="2"/>
  <c r="O84" i="2"/>
  <c r="N115" i="2"/>
  <c r="L20" i="2"/>
  <c r="K80" i="2"/>
  <c r="L8" i="2"/>
  <c r="L84" i="2"/>
  <c r="K15" i="2"/>
  <c r="L92" i="2"/>
  <c r="L65" i="2"/>
  <c r="K39" i="2"/>
  <c r="L101" i="2"/>
  <c r="N17" i="2"/>
  <c r="L38" i="2"/>
  <c r="L110" i="2"/>
  <c r="K35" i="2"/>
  <c r="N46" i="2"/>
  <c r="N102" i="2"/>
  <c r="N96" i="2"/>
  <c r="N63" i="2"/>
  <c r="O11" i="2"/>
  <c r="N32" i="2"/>
  <c r="L91" i="2"/>
  <c r="O38" i="2"/>
  <c r="K97" i="2"/>
  <c r="K68" i="2"/>
  <c r="K5" i="2"/>
  <c r="O110" i="2"/>
  <c r="L86" i="2"/>
  <c r="O69" i="2"/>
  <c r="N97" i="2"/>
  <c r="K78" i="2"/>
  <c r="N5" i="2"/>
  <c r="K4" i="2"/>
  <c r="O108" i="2"/>
  <c r="O6" i="2"/>
  <c r="K45" i="2"/>
  <c r="L5" i="2"/>
  <c r="N83" i="2"/>
  <c r="K86" i="2"/>
  <c r="N87" i="2"/>
  <c r="N31" i="2"/>
  <c r="O55" i="2"/>
  <c r="K41" i="2"/>
  <c r="L7" i="2"/>
  <c r="L9" i="2"/>
  <c r="L11" i="2"/>
  <c r="O64" i="2"/>
  <c r="K16" i="2"/>
  <c r="N90" i="2"/>
  <c r="L28" i="2"/>
  <c r="K83" i="2"/>
  <c r="O71" i="2"/>
  <c r="C25" i="2"/>
  <c r="K21" i="2"/>
  <c r="L57" i="2"/>
  <c r="L116" i="2"/>
  <c r="N89" i="2"/>
  <c r="O48" i="2"/>
  <c r="N70" i="2"/>
  <c r="N72" i="2"/>
  <c r="K53" i="2"/>
  <c r="D22" i="2"/>
  <c r="L59" i="2"/>
  <c r="N101" i="2"/>
  <c r="K88" i="2"/>
  <c r="K25" i="2"/>
  <c r="O72" i="2"/>
  <c r="L74" i="2"/>
  <c r="N29" i="2"/>
  <c r="O94" i="2"/>
  <c r="K65" i="2"/>
  <c r="L114" i="2"/>
  <c r="L89" i="2"/>
  <c r="L79" i="2"/>
  <c r="K91" i="2"/>
  <c r="K58" i="2"/>
  <c r="N35" i="2"/>
  <c r="K19" i="2"/>
  <c r="K72" i="2"/>
  <c r="K52" i="2"/>
  <c r="O89" i="2"/>
  <c r="K67" i="2"/>
  <c r="K66" i="2"/>
  <c r="O26" i="2"/>
  <c r="O42" i="2"/>
  <c r="L61" i="2"/>
  <c r="O22" i="2"/>
  <c r="N42" i="2"/>
  <c r="O115" i="2"/>
  <c r="O76" i="2"/>
  <c r="L99" i="2"/>
  <c r="O99" i="2"/>
  <c r="N14" i="2"/>
  <c r="L42" i="2"/>
  <c r="O116" i="2"/>
  <c r="K82" i="2"/>
  <c r="K31" i="2"/>
  <c r="N26" i="2"/>
  <c r="O17" i="2"/>
  <c r="O46" i="2"/>
  <c r="K18" i="2"/>
  <c r="N7" i="2"/>
  <c r="L108" i="2"/>
  <c r="K44" i="2"/>
  <c r="K30" i="2"/>
  <c r="N8" i="2"/>
  <c r="K104" i="2"/>
  <c r="K62" i="2"/>
  <c r="O63" i="2"/>
  <c r="O44" i="2"/>
  <c r="K112" i="2"/>
  <c r="L93" i="2"/>
  <c r="K37" i="2"/>
  <c r="N75" i="2"/>
  <c r="O68" i="2"/>
  <c r="O78" i="2"/>
  <c r="N84" i="2"/>
  <c r="K36" i="2"/>
  <c r="K71" i="2"/>
  <c r="N23" i="2"/>
  <c r="O56" i="2"/>
  <c r="K107" i="2"/>
  <c r="L115" i="2"/>
  <c r="K14" i="2"/>
  <c r="L46" i="2"/>
  <c r="K49" i="2"/>
  <c r="O53" i="2"/>
  <c r="O58" i="2"/>
  <c r="N100" i="2"/>
  <c r="O19" i="2"/>
  <c r="O23" i="2"/>
  <c r="K101" i="2"/>
  <c r="N85" i="2"/>
  <c r="K93" i="2"/>
  <c r="K24" i="2"/>
  <c r="N34" i="2"/>
  <c r="L36" i="2"/>
  <c r="O114" i="2"/>
  <c r="O111" i="2"/>
  <c r="O93" i="2"/>
  <c r="N22" i="2"/>
  <c r="O30" i="2"/>
  <c r="K61" i="2"/>
  <c r="K27" i="2"/>
  <c r="K63" i="2"/>
  <c r="L72" i="2"/>
  <c r="L109" i="2"/>
  <c r="L23" i="2"/>
  <c r="O20" i="2"/>
  <c r="O12" i="2"/>
  <c r="N68" i="2"/>
  <c r="N49" i="2"/>
  <c r="L90" i="2"/>
  <c r="K76" i="2"/>
  <c r="L103" i="2"/>
  <c r="N93" i="2"/>
  <c r="L96" i="2"/>
  <c r="O37" i="2"/>
  <c r="C24" i="2"/>
  <c r="L44" i="2"/>
  <c r="N111" i="2"/>
  <c r="L102" i="2"/>
  <c r="N74" i="2"/>
  <c r="K74" i="2"/>
  <c r="L111" i="2"/>
  <c r="L16" i="2"/>
  <c r="O87" i="2"/>
  <c r="N59" i="2"/>
  <c r="N94" i="2"/>
  <c r="L30" i="2"/>
  <c r="K109" i="2"/>
  <c r="L113" i="2"/>
  <c r="O14" i="2"/>
  <c r="K70" i="2"/>
  <c r="O27" i="2"/>
  <c r="K102" i="2"/>
  <c r="K47" i="2"/>
  <c r="N30" i="2"/>
  <c r="O25" i="2"/>
  <c r="K60" i="2"/>
  <c r="K46" i="2"/>
  <c r="N39" i="2"/>
  <c r="L47" i="2"/>
  <c r="O90" i="2"/>
  <c r="N58" i="2"/>
  <c r="K106" i="2"/>
  <c r="K89" i="2"/>
  <c r="N86" i="2"/>
  <c r="K95" i="2"/>
  <c r="N51" i="2"/>
  <c r="O34" i="2"/>
  <c r="L29" i="2"/>
  <c r="O15" i="2"/>
  <c r="L39" i="2"/>
  <c r="O5" i="2"/>
  <c r="O73" i="2"/>
  <c r="O50" i="2"/>
  <c r="O106" i="2"/>
  <c r="K48" i="2"/>
  <c r="K59" i="2"/>
  <c r="O52" i="2"/>
  <c r="K54" i="2"/>
  <c r="K51" i="2"/>
  <c r="K114" i="2"/>
  <c r="K13" i="2"/>
  <c r="L80" i="2"/>
  <c r="O41" i="2"/>
  <c r="N45" i="2"/>
  <c r="L26" i="2"/>
  <c r="N112" i="2"/>
  <c r="K20" i="2"/>
  <c r="K69" i="2"/>
  <c r="L100" i="2"/>
  <c r="K111" i="2"/>
  <c r="N60" i="2"/>
  <c r="K56" i="2"/>
  <c r="O4" i="2"/>
  <c r="O103" i="2"/>
  <c r="L15" i="2"/>
  <c r="L95" i="2"/>
  <c r="O51" i="2"/>
  <c r="L14" i="2"/>
  <c r="O88" i="2"/>
  <c r="L107" i="2"/>
  <c r="L32" i="2"/>
  <c r="L112" i="2"/>
  <c r="K10" i="2"/>
  <c r="L94" i="2"/>
  <c r="L45" i="2"/>
  <c r="K33" i="2"/>
  <c r="K42" i="2"/>
  <c r="D23" i="2"/>
  <c r="K75" i="2"/>
  <c r="K113" i="2"/>
  <c r="N92" i="2"/>
  <c r="N12" i="2"/>
  <c r="N20" i="2"/>
  <c r="N40" i="2"/>
  <c r="L17" i="2"/>
  <c r="N53" i="2"/>
  <c r="L69" i="2"/>
  <c r="N81" i="2"/>
  <c r="O29" i="2"/>
  <c r="N56" i="2"/>
  <c r="K57" i="2"/>
  <c r="K55" i="2"/>
  <c r="O47" i="2"/>
  <c r="K6" i="2"/>
  <c r="O8" i="2"/>
  <c r="K7" i="2"/>
  <c r="O7" i="2"/>
  <c r="M69" i="2" l="1"/>
  <c r="M17" i="2"/>
  <c r="P16" i="2" s="1"/>
  <c r="E23" i="2"/>
  <c r="M45" i="2"/>
  <c r="P44" i="2" s="1"/>
  <c r="M94" i="2"/>
  <c r="M112" i="2"/>
  <c r="P111" i="2" s="1"/>
  <c r="M32" i="2"/>
  <c r="M107" i="2"/>
  <c r="M14" i="2"/>
  <c r="M95" i="2"/>
  <c r="M15" i="2"/>
  <c r="M100" i="2"/>
  <c r="M26" i="2"/>
  <c r="M80" i="2"/>
  <c r="M39" i="2"/>
  <c r="M29" i="2"/>
  <c r="M47" i="2"/>
  <c r="M113" i="2"/>
  <c r="P112" i="2" s="1"/>
  <c r="M30" i="2"/>
  <c r="M16" i="2"/>
  <c r="P15" i="2" s="1"/>
  <c r="M111" i="2"/>
  <c r="M102" i="2"/>
  <c r="P101" i="2" s="1"/>
  <c r="M44" i="2"/>
  <c r="M96" i="2"/>
  <c r="M103" i="2"/>
  <c r="M90" i="2"/>
  <c r="P89" i="2" s="1"/>
  <c r="M23" i="2"/>
  <c r="M109" i="2"/>
  <c r="P109" i="2" s="1"/>
  <c r="M72" i="2"/>
  <c r="M36" i="2"/>
  <c r="P35" i="2" s="1"/>
  <c r="M46" i="2"/>
  <c r="M115" i="2"/>
  <c r="M93" i="2"/>
  <c r="M108" i="2"/>
  <c r="P107" i="2" s="1"/>
  <c r="M42" i="2"/>
  <c r="M99" i="2"/>
  <c r="P98" i="2" s="1"/>
  <c r="M61" i="2"/>
  <c r="M79" i="2"/>
  <c r="P79" i="2" s="1"/>
  <c r="M89" i="2"/>
  <c r="M114" i="2"/>
  <c r="P114" i="2" s="1"/>
  <c r="M74" i="2"/>
  <c r="M59" i="2"/>
  <c r="P58" i="2" s="1"/>
  <c r="E22" i="2"/>
  <c r="M116" i="2"/>
  <c r="P115" i="2" s="1"/>
  <c r="M57" i="2"/>
  <c r="M28" i="2"/>
  <c r="P27" i="2" s="1"/>
  <c r="M11" i="2"/>
  <c r="M9" i="2"/>
  <c r="P8" i="2" s="1"/>
  <c r="M7" i="2"/>
  <c r="M5" i="2"/>
  <c r="P4" i="2" s="1"/>
  <c r="M86" i="2"/>
  <c r="M91" i="2"/>
  <c r="P90" i="2" s="1"/>
  <c r="M110" i="2"/>
  <c r="M38" i="2"/>
  <c r="P37" i="2" s="1"/>
  <c r="M101" i="2"/>
  <c r="M65" i="2"/>
  <c r="P64" i="2" s="1"/>
  <c r="M92" i="2"/>
  <c r="M84" i="2"/>
  <c r="M8" i="2"/>
  <c r="M20" i="2"/>
  <c r="M35" i="2"/>
  <c r="M71" i="2"/>
  <c r="P70" i="2" s="1"/>
  <c r="M58" i="2"/>
  <c r="M56" i="2"/>
  <c r="M106" i="2"/>
  <c r="M10" i="2"/>
  <c r="P9" i="2" s="1"/>
  <c r="M88" i="2"/>
  <c r="M6" i="2"/>
  <c r="M67" i="2"/>
  <c r="M62" i="2"/>
  <c r="M83" i="2"/>
  <c r="M70" i="2"/>
  <c r="M55" i="2"/>
  <c r="M51" i="2"/>
  <c r="P50" i="2" s="1"/>
  <c r="M49" i="2"/>
  <c r="M37" i="2"/>
  <c r="M105" i="2"/>
  <c r="M76" i="2"/>
  <c r="M22" i="2"/>
  <c r="M4" i="2"/>
  <c r="M73" i="2"/>
  <c r="P73" i="2" s="1"/>
  <c r="M52" i="2"/>
  <c r="M63" i="2"/>
  <c r="M31" i="2"/>
  <c r="P30" i="2" s="1"/>
  <c r="M27" i="2"/>
  <c r="M41" i="2"/>
  <c r="M78" i="2"/>
  <c r="M13" i="2"/>
  <c r="P12" i="2" s="1"/>
  <c r="M75" i="2"/>
  <c r="M97" i="2"/>
  <c r="P96" i="2" s="1"/>
  <c r="M64" i="2"/>
  <c r="M12" i="2"/>
  <c r="M19" i="2"/>
  <c r="P18" i="2" s="1"/>
  <c r="M43" i="2"/>
  <c r="P43" i="2" s="1"/>
  <c r="M81" i="2"/>
  <c r="M66" i="2"/>
  <c r="M25" i="2"/>
  <c r="M53" i="2"/>
  <c r="P52" i="2" s="1"/>
  <c r="M24" i="2"/>
  <c r="M48" i="2"/>
  <c r="P47" i="2" s="1"/>
  <c r="M77" i="2"/>
  <c r="M33" i="2"/>
  <c r="M68" i="2"/>
  <c r="M21" i="2"/>
  <c r="P20" i="2" s="1"/>
  <c r="M87" i="2"/>
  <c r="P86" i="2" s="1"/>
  <c r="M82" i="2"/>
  <c r="P81" i="2" s="1"/>
  <c r="M40" i="2"/>
  <c r="P39" i="2" s="1"/>
  <c r="M104" i="2"/>
  <c r="M50" i="2"/>
  <c r="P49" i="2" s="1"/>
  <c r="M98" i="2"/>
  <c r="P97" i="2" s="1"/>
  <c r="M18" i="2"/>
  <c r="M34" i="2"/>
  <c r="P34" i="2" s="1"/>
  <c r="M60" i="2"/>
  <c r="P59" i="2" s="1"/>
  <c r="M54" i="2"/>
  <c r="P54" i="2" s="1"/>
  <c r="M85" i="2"/>
  <c r="P55" i="2"/>
  <c r="P100" i="2"/>
  <c r="P23" i="2"/>
  <c r="P85" i="2"/>
  <c r="P57" i="2"/>
  <c r="P87" i="2"/>
  <c r="P66" i="2"/>
  <c r="P95" i="2"/>
  <c r="P25" i="2"/>
  <c r="P104" i="2"/>
  <c r="P28" i="2"/>
  <c r="P110" i="2"/>
  <c r="P74" i="2"/>
  <c r="P105" i="2"/>
  <c r="P69" i="2"/>
  <c r="P26" i="2"/>
  <c r="P38" i="2"/>
  <c r="P7" i="2"/>
  <c r="P13" i="2"/>
  <c r="P103" i="2"/>
  <c r="P24" i="2"/>
  <c r="P99" i="2"/>
  <c r="P36" i="2"/>
  <c r="P67" i="2"/>
  <c r="P40" i="2"/>
  <c r="P42" i="2"/>
  <c r="P113" i="2"/>
  <c r="P51" i="2"/>
  <c r="P11" i="2"/>
  <c r="P31" i="2"/>
  <c r="P19" i="2"/>
  <c r="P88" i="2"/>
  <c r="P45" i="2"/>
  <c r="P53" i="2"/>
  <c r="P93" i="2"/>
  <c r="P61" i="2"/>
  <c r="P22" i="2"/>
  <c r="P108" i="2"/>
  <c r="P14" i="2"/>
  <c r="P65" i="2"/>
  <c r="P6" i="2"/>
  <c r="P72" i="2"/>
  <c r="P78" i="2"/>
  <c r="P63" i="2"/>
  <c r="M52" i="6"/>
  <c r="P5" i="2" l="1"/>
  <c r="P82" i="2"/>
  <c r="P84" i="2"/>
  <c r="P17" i="2"/>
  <c r="P80" i="2"/>
  <c r="P77" i="2"/>
  <c r="P62" i="2"/>
  <c r="P21" i="2"/>
  <c r="P83" i="2"/>
  <c r="P10" i="2"/>
  <c r="P41" i="2"/>
  <c r="P46" i="2"/>
  <c r="P29" i="2"/>
  <c r="P32" i="2"/>
  <c r="P33" i="2"/>
  <c r="P48" i="2"/>
  <c r="P76" i="2"/>
  <c r="P75" i="2"/>
  <c r="P106" i="2"/>
  <c r="P91" i="2"/>
  <c r="P56" i="2"/>
  <c r="P60" i="2"/>
  <c r="P92" i="2"/>
  <c r="P71" i="2"/>
  <c r="P102" i="2"/>
  <c r="P94" i="2"/>
  <c r="P68" i="2"/>
  <c r="G54" i="2"/>
  <c r="M53" i="6"/>
  <c r="M54" i="6" l="1"/>
  <c r="M55" i="6" l="1"/>
  <c r="M56" i="6" l="1"/>
  <c r="M57" i="6" l="1"/>
  <c r="M58" i="6" l="1"/>
  <c r="M59" i="6" l="1"/>
  <c r="M60" i="6" l="1"/>
  <c r="M61" i="6" l="1"/>
  <c r="M62" i="6" l="1"/>
  <c r="M63" i="6" l="1"/>
  <c r="M64" i="6" l="1"/>
  <c r="M65" i="6" l="1"/>
  <c r="M66" i="6" l="1"/>
  <c r="M67" i="6" l="1"/>
  <c r="M68" i="6" l="1"/>
  <c r="M69" i="6" l="1"/>
  <c r="M70" i="6" l="1"/>
  <c r="M71" i="6" l="1"/>
  <c r="M72" i="6" l="1"/>
  <c r="M73" i="6" l="1"/>
  <c r="M74" i="6" l="1"/>
  <c r="M75" i="6" l="1"/>
  <c r="M76" i="6" l="1"/>
  <c r="M77" i="6" l="1"/>
  <c r="M78" i="6" l="1"/>
  <c r="M79" i="6" l="1"/>
  <c r="M80" i="6" l="1"/>
  <c r="M81" i="6" l="1"/>
  <c r="M82" i="6" l="1"/>
  <c r="M83" i="6" l="1"/>
  <c r="M84" i="6" l="1"/>
  <c r="M85" i="6" l="1"/>
  <c r="M86" i="6" l="1"/>
  <c r="M87" i="6" l="1"/>
  <c r="M88" i="6" l="1"/>
  <c r="M89" i="6" l="1"/>
  <c r="M90" i="6" l="1"/>
  <c r="M91" i="6" l="1"/>
  <c r="M92" i="6" l="1"/>
  <c r="M93" i="6" l="1"/>
  <c r="M94" i="6" l="1"/>
  <c r="M95" i="6" l="1"/>
  <c r="M96" i="6" l="1"/>
  <c r="M97" i="6" l="1"/>
  <c r="M98" i="6" l="1"/>
  <c r="M99" i="6" l="1"/>
  <c r="M100" i="6" l="1"/>
  <c r="M101" i="6" l="1"/>
  <c r="M102" i="6" l="1"/>
  <c r="M116" i="6" l="1"/>
  <c r="M115" i="6"/>
  <c r="M114" i="6"/>
  <c r="M113" i="6"/>
  <c r="M112" i="6"/>
  <c r="M111" i="6"/>
  <c r="M110" i="6"/>
  <c r="M109" i="6"/>
  <c r="M108" i="6"/>
  <c r="M107" i="6"/>
  <c r="M106" i="6"/>
  <c r="M105" i="6"/>
  <c r="M104" i="6"/>
  <c r="M103" i="6"/>
</calcChain>
</file>

<file path=xl/sharedStrings.xml><?xml version="1.0" encoding="utf-8"?>
<sst xmlns="http://schemas.openxmlformats.org/spreadsheetml/2006/main" count="144" uniqueCount="67">
  <si>
    <t>Balken</t>
  </si>
  <si>
    <t>Kräfte</t>
  </si>
  <si>
    <t>Länge des Balkens</t>
  </si>
  <si>
    <t>m</t>
  </si>
  <si>
    <t>Nummer</t>
  </si>
  <si>
    <t>Ort</t>
  </si>
  <si>
    <t>Betrag</t>
  </si>
  <si>
    <t>Breite des Balkens</t>
  </si>
  <si>
    <t>kN</t>
  </si>
  <si>
    <t>Höhe des Balkens</t>
  </si>
  <si>
    <t>E-Modul des Balkens</t>
  </si>
  <si>
    <t>MPa</t>
  </si>
  <si>
    <t>Steifigkeit des Bodens</t>
  </si>
  <si>
    <t>ME</t>
  </si>
  <si>
    <t>Hilfsgrössen</t>
  </si>
  <si>
    <t>MPa/m</t>
  </si>
  <si>
    <t>nur Info</t>
  </si>
  <si>
    <t>I_Balken</t>
  </si>
  <si>
    <t>m4</t>
  </si>
  <si>
    <t>EI</t>
  </si>
  <si>
    <t>MNm2</t>
  </si>
  <si>
    <t>L</t>
  </si>
  <si>
    <t>Resultat</t>
  </si>
  <si>
    <t>Position</t>
  </si>
  <si>
    <t>Moment</t>
  </si>
  <si>
    <t>Verschiebung</t>
  </si>
  <si>
    <t>Bodenpressung</t>
  </si>
  <si>
    <t>kNm/m</t>
  </si>
  <si>
    <t>kPa</t>
  </si>
  <si>
    <t>M (kNm/m)</t>
  </si>
  <si>
    <t>q (kPa)</t>
  </si>
  <si>
    <t>Kraftincrement</t>
  </si>
  <si>
    <t>mm</t>
  </si>
  <si>
    <t>STV</t>
  </si>
  <si>
    <t>Sohlpressung</t>
  </si>
  <si>
    <t>Setzung</t>
  </si>
  <si>
    <t>Querkraft</t>
  </si>
  <si>
    <t>STV anwendbar?</t>
  </si>
  <si>
    <t>Q (kN/m)</t>
  </si>
  <si>
    <t>ks</t>
  </si>
  <si>
    <t>y (mm)</t>
  </si>
  <si>
    <t>Länge/L_elast</t>
  </si>
  <si>
    <t>Datengrundlage für Grafiken</t>
  </si>
  <si>
    <t>Einteilung</t>
  </si>
  <si>
    <t>x (m)</t>
  </si>
  <si>
    <t>q</t>
  </si>
  <si>
    <t>Fundament Mitte</t>
  </si>
  <si>
    <t>Beliebige Position</t>
  </si>
  <si>
    <t>kN/m</t>
  </si>
  <si>
    <t>max. Moment</t>
  </si>
  <si>
    <t>min. Moment</t>
  </si>
  <si>
    <t>Kontrolle</t>
  </si>
  <si>
    <t>Soll:</t>
  </si>
  <si>
    <t>Summe der Sohlpressung</t>
  </si>
  <si>
    <t>Vergleich Bettungsmodulverfahren mit Spannungstrapez</t>
  </si>
  <si>
    <t>Berechnung der Boden-Bauwerks-Interaktion mit Bettungsmodulverfahren</t>
  </si>
  <si>
    <t>Input</t>
  </si>
  <si>
    <t>LK 1</t>
  </si>
  <si>
    <t>LK 2</t>
  </si>
  <si>
    <t>LK 3</t>
  </si>
  <si>
    <t>LK 4</t>
  </si>
  <si>
    <t>F1 Max</t>
  </si>
  <si>
    <t>F2 Max</t>
  </si>
  <si>
    <t>F3 Max</t>
  </si>
  <si>
    <t>F rnd</t>
  </si>
  <si>
    <t>LK 5</t>
  </si>
  <si>
    <t>Ftot-Max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</si>
</sst>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"/>
    <numFmt numFmtId="165" formatCode="0.000"/>
  </numFmts>
  <fonts count="7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 tint="-0.499984740745262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3">
    <xf numFmtId="0" fontId="0" fillId="0" borderId="0"/>
    <xf numFmtId="0" fontId="1" fillId="2" borderId="1" applyNumberFormat="0" applyAlignment="0" applyProtection="0"/>
    <xf numFmtId="0" fontId="2" fillId="3" borderId="1" applyNumberFormat="0" applyAlignment="0" applyProtection="0"/>
  </cellStyleXfs>
  <cellXfs count="23">
    <xf numFmtId="0" fontId="0" fillId="0" borderId="0" xfId="0"/>
    <xf numFmtId="0" fontId="3" fillId="0" borderId="0" xfId="0" applyFont="1"/>
    <xf numFmtId="0" fontId="4" fillId="4" borderId="0" xfId="0" applyFont="1" applyFill="1"/>
    <xf numFmtId="0" fontId="0" fillId="4" borderId="0" xfId="0" applyFill="1"/>
    <xf numFmtId="0" fontId="4" fillId="5" borderId="0" xfId="0" applyFont="1" applyFill="1"/>
    <xf numFmtId="0" fontId="0" fillId="5" borderId="0" xfId="0" applyFill="1"/>
    <xf numFmtId="0" fontId="1" fillId="2" borderId="1" xfId="1"/>
    <xf numFmtId="3" fontId="1" fillId="2" borderId="1" xfId="1" applyNumberFormat="1"/>
    <xf numFmtId="0" fontId="0" fillId="6" borderId="0" xfId="0" applyFill="1"/>
    <xf numFmtId="164" fontId="2" fillId="3" borderId="1" xfId="2" applyNumberFormat="1"/>
    <xf numFmtId="165" fontId="2" fillId="3" borderId="1" xfId="2" applyNumberFormat="1"/>
    <xf numFmtId="2" fontId="2" fillId="3" borderId="1" xfId="2" applyNumberFormat="1"/>
    <xf numFmtId="2" fontId="0" fillId="0" borderId="0" xfId="0" applyNumberFormat="1"/>
    <xf numFmtId="0" fontId="0" fillId="7" borderId="0" xfId="0" applyFill="1"/>
    <xf numFmtId="2" fontId="0" fillId="7" borderId="0" xfId="0" applyNumberFormat="1" applyFill="1"/>
    <xf numFmtId="164" fontId="0" fillId="0" borderId="0" xfId="0" applyNumberFormat="1"/>
    <xf numFmtId="165" fontId="0" fillId="0" borderId="0" xfId="0" applyNumberFormat="1"/>
    <xf numFmtId="4" fontId="1" fillId="2" borderId="1" xfId="1" applyNumberFormat="1"/>
    <xf numFmtId="1" fontId="0" fillId="0" borderId="0" xfId="0" applyNumberFormat="1"/>
    <xf numFmtId="164" fontId="1" fillId="2" borderId="1" xfId="1" applyNumberFormat="1"/>
    <xf numFmtId="0" fontId="6" fillId="0" borderId="0" xfId="0" applyFont="1" applyFill="1"/>
    <xf numFmtId="0" fontId="6" fillId="0" borderId="0" xfId="0" applyFont="1" applyFill="1" applyAlignment="1">
      <alignment horizontal="center"/>
    </xf>
    <xf numFmtId="2" fontId="5" fillId="0" borderId="0" xfId="0" applyNumberFormat="1" applyFont="1"/>
  </cellXfs>
  <cellStyles count="3">
    <cellStyle name="Berechnung" xfId="2" builtinId="22"/>
    <cellStyle name="Eingabe" xfId="1" builtinId="20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CH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Vorlage!$K$2:$K$3</c:f>
              <c:strCache>
                <c:ptCount val="1"/>
                <c:pt idx="0">
                  <c:v>Moment M (kNm/m)</c:v>
                </c:pt>
              </c:strCache>
            </c:strRef>
          </c:tx>
          <c:marker>
            <c:symbol val="none"/>
          </c:marker>
          <c:xVal>
            <c:numRef>
              <c:f>Vorlage!$J$4:$J$760</c:f>
              <c:numCache>
                <c:formatCode>General</c:formatCode>
                <c:ptCount val="757"/>
                <c:pt idx="0">
                  <c:v>0</c:v>
                </c:pt>
                <c:pt idx="1">
                  <c:v>2.7500000000000003E-3</c:v>
                </c:pt>
                <c:pt idx="2">
                  <c:v>0.13750000000000001</c:v>
                </c:pt>
                <c:pt idx="3">
                  <c:v>0.27500000000000002</c:v>
                </c:pt>
                <c:pt idx="4">
                  <c:v>0.55000000000000004</c:v>
                </c:pt>
                <c:pt idx="5">
                  <c:v>0.82500000000000007</c:v>
                </c:pt>
                <c:pt idx="6">
                  <c:v>1.1000000000000001</c:v>
                </c:pt>
                <c:pt idx="7">
                  <c:v>1.375</c:v>
                </c:pt>
                <c:pt idx="8">
                  <c:v>1.6500000000000001</c:v>
                </c:pt>
                <c:pt idx="9">
                  <c:v>1.9250000000000003</c:v>
                </c:pt>
                <c:pt idx="10">
                  <c:v>2.2000000000000002</c:v>
                </c:pt>
                <c:pt idx="11">
                  <c:v>2.4750000000000001</c:v>
                </c:pt>
                <c:pt idx="12">
                  <c:v>2.6125000000000003</c:v>
                </c:pt>
                <c:pt idx="13">
                  <c:v>2.7472500000000002</c:v>
                </c:pt>
                <c:pt idx="14">
                  <c:v>2.75</c:v>
                </c:pt>
                <c:pt idx="15">
                  <c:v>2.75</c:v>
                </c:pt>
                <c:pt idx="16">
                  <c:v>2.75</c:v>
                </c:pt>
                <c:pt idx="17">
                  <c:v>2.75</c:v>
                </c:pt>
                <c:pt idx="18">
                  <c:v>2.75</c:v>
                </c:pt>
                <c:pt idx="19">
                  <c:v>2.75</c:v>
                </c:pt>
                <c:pt idx="20">
                  <c:v>2.75</c:v>
                </c:pt>
                <c:pt idx="21">
                  <c:v>2.75</c:v>
                </c:pt>
                <c:pt idx="22">
                  <c:v>2.75</c:v>
                </c:pt>
                <c:pt idx="23">
                  <c:v>2.75</c:v>
                </c:pt>
                <c:pt idx="24">
                  <c:v>2.75</c:v>
                </c:pt>
                <c:pt idx="25">
                  <c:v>2.75</c:v>
                </c:pt>
                <c:pt idx="26">
                  <c:v>2.75</c:v>
                </c:pt>
                <c:pt idx="27">
                  <c:v>2.75</c:v>
                </c:pt>
                <c:pt idx="28">
                  <c:v>2.75</c:v>
                </c:pt>
                <c:pt idx="29">
                  <c:v>2.75</c:v>
                </c:pt>
                <c:pt idx="30">
                  <c:v>2.75</c:v>
                </c:pt>
                <c:pt idx="31">
                  <c:v>2.75</c:v>
                </c:pt>
                <c:pt idx="32">
                  <c:v>2.75</c:v>
                </c:pt>
                <c:pt idx="33">
                  <c:v>2.75</c:v>
                </c:pt>
                <c:pt idx="34">
                  <c:v>2.75</c:v>
                </c:pt>
                <c:pt idx="35">
                  <c:v>2.75</c:v>
                </c:pt>
                <c:pt idx="36">
                  <c:v>2.75</c:v>
                </c:pt>
                <c:pt idx="37">
                  <c:v>2.75</c:v>
                </c:pt>
                <c:pt idx="38">
                  <c:v>2.75</c:v>
                </c:pt>
                <c:pt idx="39">
                  <c:v>2.75</c:v>
                </c:pt>
                <c:pt idx="40">
                  <c:v>2.75</c:v>
                </c:pt>
                <c:pt idx="41">
                  <c:v>2.75</c:v>
                </c:pt>
                <c:pt idx="42">
                  <c:v>2.75</c:v>
                </c:pt>
                <c:pt idx="43">
                  <c:v>2.75</c:v>
                </c:pt>
                <c:pt idx="44">
                  <c:v>2.75</c:v>
                </c:pt>
                <c:pt idx="45">
                  <c:v>2.75</c:v>
                </c:pt>
                <c:pt idx="46">
                  <c:v>2.75</c:v>
                </c:pt>
                <c:pt idx="47">
                  <c:v>2.75</c:v>
                </c:pt>
                <c:pt idx="48">
                  <c:v>2.75</c:v>
                </c:pt>
                <c:pt idx="49">
                  <c:v>2.75</c:v>
                </c:pt>
                <c:pt idx="50">
                  <c:v>2.75</c:v>
                </c:pt>
                <c:pt idx="51">
                  <c:v>2.75</c:v>
                </c:pt>
                <c:pt idx="52">
                  <c:v>2.75</c:v>
                </c:pt>
                <c:pt idx="53">
                  <c:v>2.75</c:v>
                </c:pt>
                <c:pt idx="54">
                  <c:v>2.75</c:v>
                </c:pt>
                <c:pt idx="55">
                  <c:v>2.75</c:v>
                </c:pt>
                <c:pt idx="56">
                  <c:v>2.75</c:v>
                </c:pt>
                <c:pt idx="57">
                  <c:v>2.75</c:v>
                </c:pt>
                <c:pt idx="58">
                  <c:v>2.75</c:v>
                </c:pt>
                <c:pt idx="59">
                  <c:v>2.75</c:v>
                </c:pt>
                <c:pt idx="60">
                  <c:v>2.75</c:v>
                </c:pt>
                <c:pt idx="61">
                  <c:v>2.75</c:v>
                </c:pt>
                <c:pt idx="62">
                  <c:v>2.75</c:v>
                </c:pt>
                <c:pt idx="63">
                  <c:v>2.75</c:v>
                </c:pt>
                <c:pt idx="64">
                  <c:v>2.75</c:v>
                </c:pt>
                <c:pt idx="65">
                  <c:v>2.75</c:v>
                </c:pt>
                <c:pt idx="66">
                  <c:v>2.75</c:v>
                </c:pt>
                <c:pt idx="67">
                  <c:v>2.75</c:v>
                </c:pt>
                <c:pt idx="68">
                  <c:v>2.75</c:v>
                </c:pt>
                <c:pt idx="69">
                  <c:v>2.75</c:v>
                </c:pt>
                <c:pt idx="70">
                  <c:v>2.75</c:v>
                </c:pt>
                <c:pt idx="71">
                  <c:v>2.75</c:v>
                </c:pt>
                <c:pt idx="72">
                  <c:v>2.75</c:v>
                </c:pt>
                <c:pt idx="73">
                  <c:v>2.75</c:v>
                </c:pt>
                <c:pt idx="74">
                  <c:v>2.75</c:v>
                </c:pt>
                <c:pt idx="75">
                  <c:v>2.75</c:v>
                </c:pt>
                <c:pt idx="76">
                  <c:v>2.75</c:v>
                </c:pt>
                <c:pt idx="77">
                  <c:v>2.75</c:v>
                </c:pt>
                <c:pt idx="78">
                  <c:v>2.75</c:v>
                </c:pt>
                <c:pt idx="79">
                  <c:v>2.75</c:v>
                </c:pt>
                <c:pt idx="80">
                  <c:v>2.75</c:v>
                </c:pt>
                <c:pt idx="81">
                  <c:v>2.75</c:v>
                </c:pt>
                <c:pt idx="82">
                  <c:v>2.75</c:v>
                </c:pt>
                <c:pt idx="83">
                  <c:v>2.75</c:v>
                </c:pt>
                <c:pt idx="84">
                  <c:v>2.75</c:v>
                </c:pt>
                <c:pt idx="85">
                  <c:v>2.75</c:v>
                </c:pt>
                <c:pt idx="86">
                  <c:v>2.75</c:v>
                </c:pt>
                <c:pt idx="87">
                  <c:v>2.75</c:v>
                </c:pt>
                <c:pt idx="88">
                  <c:v>2.75</c:v>
                </c:pt>
                <c:pt idx="89">
                  <c:v>2.75</c:v>
                </c:pt>
                <c:pt idx="90">
                  <c:v>2.75</c:v>
                </c:pt>
                <c:pt idx="91">
                  <c:v>2.75</c:v>
                </c:pt>
                <c:pt idx="92">
                  <c:v>2.75</c:v>
                </c:pt>
                <c:pt idx="93">
                  <c:v>2.75</c:v>
                </c:pt>
                <c:pt idx="94">
                  <c:v>2.75</c:v>
                </c:pt>
                <c:pt idx="95">
                  <c:v>2.75</c:v>
                </c:pt>
                <c:pt idx="96">
                  <c:v>2.75</c:v>
                </c:pt>
                <c:pt idx="97">
                  <c:v>2.75</c:v>
                </c:pt>
                <c:pt idx="98">
                  <c:v>2.75</c:v>
                </c:pt>
                <c:pt idx="99">
                  <c:v>2.7527499999999998</c:v>
                </c:pt>
                <c:pt idx="100">
                  <c:v>2.8875000000000002</c:v>
                </c:pt>
                <c:pt idx="101">
                  <c:v>3.0249999999999999</c:v>
                </c:pt>
                <c:pt idx="102">
                  <c:v>3.3</c:v>
                </c:pt>
                <c:pt idx="103">
                  <c:v>3.5750000000000002</c:v>
                </c:pt>
                <c:pt idx="104">
                  <c:v>3.85</c:v>
                </c:pt>
                <c:pt idx="105">
                  <c:v>4.125</c:v>
                </c:pt>
                <c:pt idx="106">
                  <c:v>4.4000000000000004</c:v>
                </c:pt>
                <c:pt idx="107">
                  <c:v>4.6750000000000007</c:v>
                </c:pt>
                <c:pt idx="108">
                  <c:v>4.95</c:v>
                </c:pt>
                <c:pt idx="109">
                  <c:v>5.2249999999999996</c:v>
                </c:pt>
                <c:pt idx="110">
                  <c:v>5.3625000000000007</c:v>
                </c:pt>
                <c:pt idx="111">
                  <c:v>5.4972500000000002</c:v>
                </c:pt>
                <c:pt idx="112">
                  <c:v>5.5</c:v>
                </c:pt>
              </c:numCache>
            </c:numRef>
          </c:xVal>
          <c:yVal>
            <c:numRef>
              <c:f>Vorlage!$K$4:$K$760</c:f>
              <c:numCache>
                <c:formatCode>0</c:formatCode>
                <c:ptCount val="757"/>
                <c:pt idx="0">
                  <c:v>-1.5484373809251402E-13</c:v>
                </c:pt>
                <c:pt idx="1">
                  <c:v>-9.9615810502855034E-4</c:v>
                </c:pt>
                <c:pt idx="2">
                  <c:v>-2.4907441094753584</c:v>
                </c:pt>
                <c:pt idx="3">
                  <c:v>-9.9644001775626645</c:v>
                </c:pt>
                <c:pt idx="4">
                  <c:v>-39.868983165726519</c:v>
                </c:pt>
                <c:pt idx="5">
                  <c:v>-89.730758678411831</c:v>
                </c:pt>
                <c:pt idx="6">
                  <c:v>-159.56651462094513</c:v>
                </c:pt>
                <c:pt idx="7">
                  <c:v>-249.39256103393237</c:v>
                </c:pt>
                <c:pt idx="8">
                  <c:v>-359.22437147053813</c:v>
                </c:pt>
                <c:pt idx="9">
                  <c:v>-489.07612172371648</c:v>
                </c:pt>
                <c:pt idx="10">
                  <c:v>-638.96012582433843</c:v>
                </c:pt>
                <c:pt idx="11">
                  <c:v>-808.88616923790357</c:v>
                </c:pt>
                <c:pt idx="12">
                  <c:v>-901.3671349404508</c:v>
                </c:pt>
                <c:pt idx="13">
                  <c:v>-996.86174176070551</c:v>
                </c:pt>
                <c:pt idx="14">
                  <c:v>-998.86073919717353</c:v>
                </c:pt>
                <c:pt idx="15">
                  <c:v>-998.86073919717353</c:v>
                </c:pt>
                <c:pt idx="16">
                  <c:v>-998.86073919717353</c:v>
                </c:pt>
                <c:pt idx="17">
                  <c:v>-998.86073919717353</c:v>
                </c:pt>
                <c:pt idx="18">
                  <c:v>-998.86073919717353</c:v>
                </c:pt>
                <c:pt idx="19">
                  <c:v>-998.86073919717353</c:v>
                </c:pt>
                <c:pt idx="20">
                  <c:v>-998.86073919717353</c:v>
                </c:pt>
                <c:pt idx="21">
                  <c:v>-998.86073919717353</c:v>
                </c:pt>
                <c:pt idx="22">
                  <c:v>-998.86073919717353</c:v>
                </c:pt>
                <c:pt idx="23">
                  <c:v>-998.86073919717353</c:v>
                </c:pt>
                <c:pt idx="24">
                  <c:v>-998.86073919717353</c:v>
                </c:pt>
                <c:pt idx="25">
                  <c:v>-998.86073919717353</c:v>
                </c:pt>
                <c:pt idx="26">
                  <c:v>-998.86073919717353</c:v>
                </c:pt>
                <c:pt idx="27">
                  <c:v>-998.86073919717353</c:v>
                </c:pt>
                <c:pt idx="28">
                  <c:v>-998.86073919717353</c:v>
                </c:pt>
                <c:pt idx="29">
                  <c:v>-998.86073919717353</c:v>
                </c:pt>
                <c:pt idx="30">
                  <c:v>-998.86073919717353</c:v>
                </c:pt>
                <c:pt idx="31">
                  <c:v>-998.86073919717353</c:v>
                </c:pt>
                <c:pt idx="32">
                  <c:v>-998.86073919717353</c:v>
                </c:pt>
                <c:pt idx="33">
                  <c:v>-998.86073919717353</c:v>
                </c:pt>
                <c:pt idx="34">
                  <c:v>-998.86073919717353</c:v>
                </c:pt>
                <c:pt idx="35">
                  <c:v>-998.86073919717353</c:v>
                </c:pt>
                <c:pt idx="36">
                  <c:v>-998.86073919717353</c:v>
                </c:pt>
                <c:pt idx="37">
                  <c:v>-998.86073919717353</c:v>
                </c:pt>
                <c:pt idx="38">
                  <c:v>-998.86073919717353</c:v>
                </c:pt>
                <c:pt idx="39">
                  <c:v>-998.86073919717353</c:v>
                </c:pt>
                <c:pt idx="40">
                  <c:v>-998.86073919717353</c:v>
                </c:pt>
                <c:pt idx="41">
                  <c:v>-998.86073919717353</c:v>
                </c:pt>
                <c:pt idx="42">
                  <c:v>-998.86073919717353</c:v>
                </c:pt>
                <c:pt idx="43">
                  <c:v>-998.86073919717353</c:v>
                </c:pt>
                <c:pt idx="44">
                  <c:v>-998.86073919717353</c:v>
                </c:pt>
                <c:pt idx="45">
                  <c:v>-998.86073919717353</c:v>
                </c:pt>
                <c:pt idx="46">
                  <c:v>-998.86073919717353</c:v>
                </c:pt>
                <c:pt idx="47">
                  <c:v>-998.86073919717353</c:v>
                </c:pt>
                <c:pt idx="48">
                  <c:v>-998.86073919717353</c:v>
                </c:pt>
                <c:pt idx="49">
                  <c:v>-998.86073919717353</c:v>
                </c:pt>
                <c:pt idx="50">
                  <c:v>-998.86073919717353</c:v>
                </c:pt>
                <c:pt idx="51">
                  <c:v>-998.86073919717353</c:v>
                </c:pt>
                <c:pt idx="52">
                  <c:v>-998.86073919717353</c:v>
                </c:pt>
                <c:pt idx="53">
                  <c:v>-998.86073919717353</c:v>
                </c:pt>
                <c:pt idx="54">
                  <c:v>-998.86073919717353</c:v>
                </c:pt>
                <c:pt idx="55">
                  <c:v>-998.86073919717353</c:v>
                </c:pt>
                <c:pt idx="56">
                  <c:v>-998.86073919717353</c:v>
                </c:pt>
                <c:pt idx="57">
                  <c:v>-998.86073919717353</c:v>
                </c:pt>
                <c:pt idx="58">
                  <c:v>-998.86073919717353</c:v>
                </c:pt>
                <c:pt idx="59">
                  <c:v>-998.86073919717353</c:v>
                </c:pt>
                <c:pt idx="60">
                  <c:v>-998.86073919717353</c:v>
                </c:pt>
                <c:pt idx="61">
                  <c:v>-998.86073919717353</c:v>
                </c:pt>
                <c:pt idx="62">
                  <c:v>-998.86073919717353</c:v>
                </c:pt>
                <c:pt idx="63">
                  <c:v>-998.86073919717353</c:v>
                </c:pt>
                <c:pt idx="64">
                  <c:v>-998.86073919717353</c:v>
                </c:pt>
                <c:pt idx="65">
                  <c:v>-998.86073919717353</c:v>
                </c:pt>
                <c:pt idx="66">
                  <c:v>-998.86073919717353</c:v>
                </c:pt>
                <c:pt idx="67">
                  <c:v>-998.86073919717353</c:v>
                </c:pt>
                <c:pt idx="68">
                  <c:v>-998.86073919717353</c:v>
                </c:pt>
                <c:pt idx="69">
                  <c:v>-998.86073919717353</c:v>
                </c:pt>
                <c:pt idx="70">
                  <c:v>-998.86073919717353</c:v>
                </c:pt>
                <c:pt idx="71">
                  <c:v>-998.86073919717353</c:v>
                </c:pt>
                <c:pt idx="72">
                  <c:v>-998.86073919717353</c:v>
                </c:pt>
                <c:pt idx="73">
                  <c:v>-998.86073919717353</c:v>
                </c:pt>
                <c:pt idx="74">
                  <c:v>-998.86073919717353</c:v>
                </c:pt>
                <c:pt idx="75">
                  <c:v>-998.86073919717353</c:v>
                </c:pt>
                <c:pt idx="76">
                  <c:v>-998.86073919717353</c:v>
                </c:pt>
                <c:pt idx="77">
                  <c:v>-998.86073919717353</c:v>
                </c:pt>
                <c:pt idx="78">
                  <c:v>-998.86073919717353</c:v>
                </c:pt>
                <c:pt idx="79">
                  <c:v>-998.86073919717353</c:v>
                </c:pt>
                <c:pt idx="80">
                  <c:v>-998.86073919717353</c:v>
                </c:pt>
                <c:pt idx="81">
                  <c:v>-998.86073919717353</c:v>
                </c:pt>
                <c:pt idx="82">
                  <c:v>-998.86073919717353</c:v>
                </c:pt>
                <c:pt idx="83">
                  <c:v>-998.86073919717353</c:v>
                </c:pt>
                <c:pt idx="84">
                  <c:v>-998.86073919717353</c:v>
                </c:pt>
                <c:pt idx="85">
                  <c:v>-998.86073919717353</c:v>
                </c:pt>
                <c:pt idx="86">
                  <c:v>-998.86073919717353</c:v>
                </c:pt>
                <c:pt idx="87">
                  <c:v>-998.86073919717353</c:v>
                </c:pt>
                <c:pt idx="88">
                  <c:v>-998.86073919717353</c:v>
                </c:pt>
                <c:pt idx="89">
                  <c:v>-998.86073919717353</c:v>
                </c:pt>
                <c:pt idx="90">
                  <c:v>-998.86073919717353</c:v>
                </c:pt>
                <c:pt idx="91">
                  <c:v>-998.86073919717353</c:v>
                </c:pt>
                <c:pt idx="92">
                  <c:v>-998.86073919717353</c:v>
                </c:pt>
                <c:pt idx="93">
                  <c:v>-998.86073919717353</c:v>
                </c:pt>
                <c:pt idx="94">
                  <c:v>-998.86073919717353</c:v>
                </c:pt>
                <c:pt idx="95">
                  <c:v>-998.86073919717353</c:v>
                </c:pt>
                <c:pt idx="96">
                  <c:v>-998.86073919717353</c:v>
                </c:pt>
                <c:pt idx="97">
                  <c:v>-998.86073919717353</c:v>
                </c:pt>
                <c:pt idx="98">
                  <c:v>-998.86073919717353</c:v>
                </c:pt>
                <c:pt idx="99">
                  <c:v>-996.86174176070517</c:v>
                </c:pt>
                <c:pt idx="100">
                  <c:v>-901.36713494045</c:v>
                </c:pt>
                <c:pt idx="101">
                  <c:v>-808.88616923790312</c:v>
                </c:pt>
                <c:pt idx="102">
                  <c:v>-638.96012582433809</c:v>
                </c:pt>
                <c:pt idx="103">
                  <c:v>-489.07612172371626</c:v>
                </c:pt>
                <c:pt idx="104">
                  <c:v>-359.2243714705379</c:v>
                </c:pt>
                <c:pt idx="105">
                  <c:v>-249.39256103393228</c:v>
                </c:pt>
                <c:pt idx="106">
                  <c:v>-159.5665146209445</c:v>
                </c:pt>
                <c:pt idx="107">
                  <c:v>-89.730758678411675</c:v>
                </c:pt>
                <c:pt idx="108">
                  <c:v>-39.868983165726675</c:v>
                </c:pt>
                <c:pt idx="109">
                  <c:v>-9.9644001775623554</c:v>
                </c:pt>
                <c:pt idx="110">
                  <c:v>-2.4907441094752034</c:v>
                </c:pt>
                <c:pt idx="111">
                  <c:v>-9.9615810533823794E-4</c:v>
                </c:pt>
                <c:pt idx="112">
                  <c:v>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Vorlage!$N$2:$N$3</c:f>
              <c:strCache>
                <c:ptCount val="1"/>
                <c:pt idx="0">
                  <c:v>Querkraft Q (kN/m)</c:v>
                </c:pt>
              </c:strCache>
            </c:strRef>
          </c:tx>
          <c:spPr>
            <a:ln>
              <a:solidFill>
                <a:schemeClr val="accent3"/>
              </a:solidFill>
            </a:ln>
          </c:spPr>
          <c:marker>
            <c:symbol val="none"/>
          </c:marker>
          <c:xVal>
            <c:numRef>
              <c:f>Vorlage!$J$4:$J$760</c:f>
              <c:numCache>
                <c:formatCode>General</c:formatCode>
                <c:ptCount val="757"/>
                <c:pt idx="0">
                  <c:v>0</c:v>
                </c:pt>
                <c:pt idx="1">
                  <c:v>2.7500000000000003E-3</c:v>
                </c:pt>
                <c:pt idx="2">
                  <c:v>0.13750000000000001</c:v>
                </c:pt>
                <c:pt idx="3">
                  <c:v>0.27500000000000002</c:v>
                </c:pt>
                <c:pt idx="4">
                  <c:v>0.55000000000000004</c:v>
                </c:pt>
                <c:pt idx="5">
                  <c:v>0.82500000000000007</c:v>
                </c:pt>
                <c:pt idx="6">
                  <c:v>1.1000000000000001</c:v>
                </c:pt>
                <c:pt idx="7">
                  <c:v>1.375</c:v>
                </c:pt>
                <c:pt idx="8">
                  <c:v>1.6500000000000001</c:v>
                </c:pt>
                <c:pt idx="9">
                  <c:v>1.9250000000000003</c:v>
                </c:pt>
                <c:pt idx="10">
                  <c:v>2.2000000000000002</c:v>
                </c:pt>
                <c:pt idx="11">
                  <c:v>2.4750000000000001</c:v>
                </c:pt>
                <c:pt idx="12">
                  <c:v>2.6125000000000003</c:v>
                </c:pt>
                <c:pt idx="13">
                  <c:v>2.7472500000000002</c:v>
                </c:pt>
                <c:pt idx="14">
                  <c:v>2.75</c:v>
                </c:pt>
                <c:pt idx="15">
                  <c:v>2.75</c:v>
                </c:pt>
                <c:pt idx="16">
                  <c:v>2.75</c:v>
                </c:pt>
                <c:pt idx="17">
                  <c:v>2.75</c:v>
                </c:pt>
                <c:pt idx="18">
                  <c:v>2.75</c:v>
                </c:pt>
                <c:pt idx="19">
                  <c:v>2.75</c:v>
                </c:pt>
                <c:pt idx="20">
                  <c:v>2.75</c:v>
                </c:pt>
                <c:pt idx="21">
                  <c:v>2.75</c:v>
                </c:pt>
                <c:pt idx="22">
                  <c:v>2.75</c:v>
                </c:pt>
                <c:pt idx="23">
                  <c:v>2.75</c:v>
                </c:pt>
                <c:pt idx="24">
                  <c:v>2.75</c:v>
                </c:pt>
                <c:pt idx="25">
                  <c:v>2.75</c:v>
                </c:pt>
                <c:pt idx="26">
                  <c:v>2.75</c:v>
                </c:pt>
                <c:pt idx="27">
                  <c:v>2.75</c:v>
                </c:pt>
                <c:pt idx="28">
                  <c:v>2.75</c:v>
                </c:pt>
                <c:pt idx="29">
                  <c:v>2.75</c:v>
                </c:pt>
                <c:pt idx="30">
                  <c:v>2.75</c:v>
                </c:pt>
                <c:pt idx="31">
                  <c:v>2.75</c:v>
                </c:pt>
                <c:pt idx="32">
                  <c:v>2.75</c:v>
                </c:pt>
                <c:pt idx="33">
                  <c:v>2.75</c:v>
                </c:pt>
                <c:pt idx="34">
                  <c:v>2.75</c:v>
                </c:pt>
                <c:pt idx="35">
                  <c:v>2.75</c:v>
                </c:pt>
                <c:pt idx="36">
                  <c:v>2.75</c:v>
                </c:pt>
                <c:pt idx="37">
                  <c:v>2.75</c:v>
                </c:pt>
                <c:pt idx="38">
                  <c:v>2.75</c:v>
                </c:pt>
                <c:pt idx="39">
                  <c:v>2.75</c:v>
                </c:pt>
                <c:pt idx="40">
                  <c:v>2.75</c:v>
                </c:pt>
                <c:pt idx="41">
                  <c:v>2.75</c:v>
                </c:pt>
                <c:pt idx="42">
                  <c:v>2.75</c:v>
                </c:pt>
                <c:pt idx="43">
                  <c:v>2.75</c:v>
                </c:pt>
                <c:pt idx="44">
                  <c:v>2.75</c:v>
                </c:pt>
                <c:pt idx="45">
                  <c:v>2.75</c:v>
                </c:pt>
                <c:pt idx="46">
                  <c:v>2.75</c:v>
                </c:pt>
                <c:pt idx="47">
                  <c:v>2.75</c:v>
                </c:pt>
                <c:pt idx="48">
                  <c:v>2.75</c:v>
                </c:pt>
                <c:pt idx="49">
                  <c:v>2.75</c:v>
                </c:pt>
                <c:pt idx="50">
                  <c:v>2.75</c:v>
                </c:pt>
                <c:pt idx="51">
                  <c:v>2.75</c:v>
                </c:pt>
                <c:pt idx="52">
                  <c:v>2.75</c:v>
                </c:pt>
                <c:pt idx="53">
                  <c:v>2.75</c:v>
                </c:pt>
                <c:pt idx="54">
                  <c:v>2.75</c:v>
                </c:pt>
                <c:pt idx="55">
                  <c:v>2.75</c:v>
                </c:pt>
                <c:pt idx="56">
                  <c:v>2.75</c:v>
                </c:pt>
                <c:pt idx="57">
                  <c:v>2.75</c:v>
                </c:pt>
                <c:pt idx="58">
                  <c:v>2.75</c:v>
                </c:pt>
                <c:pt idx="59">
                  <c:v>2.75</c:v>
                </c:pt>
                <c:pt idx="60">
                  <c:v>2.75</c:v>
                </c:pt>
                <c:pt idx="61">
                  <c:v>2.75</c:v>
                </c:pt>
                <c:pt idx="62">
                  <c:v>2.75</c:v>
                </c:pt>
                <c:pt idx="63">
                  <c:v>2.75</c:v>
                </c:pt>
                <c:pt idx="64">
                  <c:v>2.75</c:v>
                </c:pt>
                <c:pt idx="65">
                  <c:v>2.75</c:v>
                </c:pt>
                <c:pt idx="66">
                  <c:v>2.75</c:v>
                </c:pt>
                <c:pt idx="67">
                  <c:v>2.75</c:v>
                </c:pt>
                <c:pt idx="68">
                  <c:v>2.75</c:v>
                </c:pt>
                <c:pt idx="69">
                  <c:v>2.75</c:v>
                </c:pt>
                <c:pt idx="70">
                  <c:v>2.75</c:v>
                </c:pt>
                <c:pt idx="71">
                  <c:v>2.75</c:v>
                </c:pt>
                <c:pt idx="72">
                  <c:v>2.75</c:v>
                </c:pt>
                <c:pt idx="73">
                  <c:v>2.75</c:v>
                </c:pt>
                <c:pt idx="74">
                  <c:v>2.75</c:v>
                </c:pt>
                <c:pt idx="75">
                  <c:v>2.75</c:v>
                </c:pt>
                <c:pt idx="76">
                  <c:v>2.75</c:v>
                </c:pt>
                <c:pt idx="77">
                  <c:v>2.75</c:v>
                </c:pt>
                <c:pt idx="78">
                  <c:v>2.75</c:v>
                </c:pt>
                <c:pt idx="79">
                  <c:v>2.75</c:v>
                </c:pt>
                <c:pt idx="80">
                  <c:v>2.75</c:v>
                </c:pt>
                <c:pt idx="81">
                  <c:v>2.75</c:v>
                </c:pt>
                <c:pt idx="82">
                  <c:v>2.75</c:v>
                </c:pt>
                <c:pt idx="83">
                  <c:v>2.75</c:v>
                </c:pt>
                <c:pt idx="84">
                  <c:v>2.75</c:v>
                </c:pt>
                <c:pt idx="85">
                  <c:v>2.75</c:v>
                </c:pt>
                <c:pt idx="86">
                  <c:v>2.75</c:v>
                </c:pt>
                <c:pt idx="87">
                  <c:v>2.75</c:v>
                </c:pt>
                <c:pt idx="88">
                  <c:v>2.75</c:v>
                </c:pt>
                <c:pt idx="89">
                  <c:v>2.75</c:v>
                </c:pt>
                <c:pt idx="90">
                  <c:v>2.75</c:v>
                </c:pt>
                <c:pt idx="91">
                  <c:v>2.75</c:v>
                </c:pt>
                <c:pt idx="92">
                  <c:v>2.75</c:v>
                </c:pt>
                <c:pt idx="93">
                  <c:v>2.75</c:v>
                </c:pt>
                <c:pt idx="94">
                  <c:v>2.75</c:v>
                </c:pt>
                <c:pt idx="95">
                  <c:v>2.75</c:v>
                </c:pt>
                <c:pt idx="96">
                  <c:v>2.75</c:v>
                </c:pt>
                <c:pt idx="97">
                  <c:v>2.75</c:v>
                </c:pt>
                <c:pt idx="98">
                  <c:v>2.75</c:v>
                </c:pt>
                <c:pt idx="99">
                  <c:v>2.7527499999999998</c:v>
                </c:pt>
                <c:pt idx="100">
                  <c:v>2.8875000000000002</c:v>
                </c:pt>
                <c:pt idx="101">
                  <c:v>3.0249999999999999</c:v>
                </c:pt>
                <c:pt idx="102">
                  <c:v>3.3</c:v>
                </c:pt>
                <c:pt idx="103">
                  <c:v>3.5750000000000002</c:v>
                </c:pt>
                <c:pt idx="104">
                  <c:v>3.85</c:v>
                </c:pt>
                <c:pt idx="105">
                  <c:v>4.125</c:v>
                </c:pt>
                <c:pt idx="106">
                  <c:v>4.4000000000000004</c:v>
                </c:pt>
                <c:pt idx="107">
                  <c:v>4.6750000000000007</c:v>
                </c:pt>
                <c:pt idx="108">
                  <c:v>4.95</c:v>
                </c:pt>
                <c:pt idx="109">
                  <c:v>5.2249999999999996</c:v>
                </c:pt>
                <c:pt idx="110">
                  <c:v>5.3625000000000007</c:v>
                </c:pt>
                <c:pt idx="111">
                  <c:v>5.4972500000000002</c:v>
                </c:pt>
                <c:pt idx="112">
                  <c:v>5.5</c:v>
                </c:pt>
              </c:numCache>
            </c:numRef>
          </c:xVal>
          <c:yVal>
            <c:numRef>
              <c:f>Vorlage!$N$4:$N$760</c:f>
              <c:numCache>
                <c:formatCode>0</c:formatCode>
                <c:ptCount val="757"/>
                <c:pt idx="0">
                  <c:v>-2.2743796772655092E-13</c:v>
                </c:pt>
                <c:pt idx="1">
                  <c:v>-0.72447965746046039</c:v>
                </c:pt>
                <c:pt idx="2">
                  <c:v>-36.231594023937049</c:v>
                </c:pt>
                <c:pt idx="3">
                  <c:v>-72.478718299823484</c:v>
                </c:pt>
                <c:pt idx="4">
                  <c:v>-145.01947620210984</c:v>
                </c:pt>
                <c:pt idx="5">
                  <c:v>-217.62180844148403</c:v>
                </c:pt>
                <c:pt idx="6">
                  <c:v>-290.28450502038163</c:v>
                </c:pt>
                <c:pt idx="7">
                  <c:v>-363.00523839486453</c:v>
                </c:pt>
                <c:pt idx="8">
                  <c:v>-435.78019035142188</c:v>
                </c:pt>
                <c:pt idx="9">
                  <c:v>-508.60367858702392</c:v>
                </c:pt>
                <c:pt idx="10">
                  <c:v>-581.46778301235872</c:v>
                </c:pt>
                <c:pt idx="11">
                  <c:v>-654.36197180774661</c:v>
                </c:pt>
                <c:pt idx="12">
                  <c:v>-690.81625043285965</c:v>
                </c:pt>
                <c:pt idx="13">
                  <c:v>-726.54359016010994</c:v>
                </c:pt>
                <c:pt idx="14">
                  <c:v>-727.27272727272759</c:v>
                </c:pt>
                <c:pt idx="15">
                  <c:v>-727.27272727272759</c:v>
                </c:pt>
                <c:pt idx="16">
                  <c:v>-727.27272727272759</c:v>
                </c:pt>
                <c:pt idx="17">
                  <c:v>-727.27272727272759</c:v>
                </c:pt>
                <c:pt idx="18">
                  <c:v>-727.27272727272759</c:v>
                </c:pt>
                <c:pt idx="19">
                  <c:v>-727.27272727272759</c:v>
                </c:pt>
                <c:pt idx="20">
                  <c:v>-727.27272727272759</c:v>
                </c:pt>
                <c:pt idx="21">
                  <c:v>-727.27272727272759</c:v>
                </c:pt>
                <c:pt idx="22">
                  <c:v>-727.27272727272759</c:v>
                </c:pt>
                <c:pt idx="23">
                  <c:v>-727.27272727272759</c:v>
                </c:pt>
                <c:pt idx="24">
                  <c:v>-727.27272727272759</c:v>
                </c:pt>
                <c:pt idx="25">
                  <c:v>-727.27272727272759</c:v>
                </c:pt>
                <c:pt idx="26">
                  <c:v>-727.27272727272759</c:v>
                </c:pt>
                <c:pt idx="27">
                  <c:v>-727.27272727272759</c:v>
                </c:pt>
                <c:pt idx="28">
                  <c:v>-727.27272727272759</c:v>
                </c:pt>
                <c:pt idx="29">
                  <c:v>-727.27272727272759</c:v>
                </c:pt>
                <c:pt idx="30">
                  <c:v>-727.27272727272759</c:v>
                </c:pt>
                <c:pt idx="31">
                  <c:v>-727.27272727272759</c:v>
                </c:pt>
                <c:pt idx="32">
                  <c:v>-727.27272727272759</c:v>
                </c:pt>
                <c:pt idx="33">
                  <c:v>-727.27272727272759</c:v>
                </c:pt>
                <c:pt idx="34">
                  <c:v>-727.27272727272759</c:v>
                </c:pt>
                <c:pt idx="35">
                  <c:v>-727.27272727272759</c:v>
                </c:pt>
                <c:pt idx="36">
                  <c:v>-727.27272727272759</c:v>
                </c:pt>
                <c:pt idx="37">
                  <c:v>-727.27272727272759</c:v>
                </c:pt>
                <c:pt idx="38">
                  <c:v>-727.27272727272759</c:v>
                </c:pt>
                <c:pt idx="39">
                  <c:v>-727.27272727272759</c:v>
                </c:pt>
                <c:pt idx="40">
                  <c:v>-727.27272727272759</c:v>
                </c:pt>
                <c:pt idx="41">
                  <c:v>-727.27272727272759</c:v>
                </c:pt>
                <c:pt idx="42">
                  <c:v>-727.27272727272759</c:v>
                </c:pt>
                <c:pt idx="43">
                  <c:v>-727.27272727272759</c:v>
                </c:pt>
                <c:pt idx="44">
                  <c:v>-727.27272727272759</c:v>
                </c:pt>
                <c:pt idx="45">
                  <c:v>-727.27272727272759</c:v>
                </c:pt>
                <c:pt idx="46">
                  <c:v>-727.27272727272759</c:v>
                </c:pt>
                <c:pt idx="47">
                  <c:v>-727.27272727272759</c:v>
                </c:pt>
                <c:pt idx="48">
                  <c:v>-727.27272727272759</c:v>
                </c:pt>
                <c:pt idx="49">
                  <c:v>-727.27272727272759</c:v>
                </c:pt>
                <c:pt idx="50">
                  <c:v>-727.27272727272759</c:v>
                </c:pt>
                <c:pt idx="51">
                  <c:v>-727.27272727272759</c:v>
                </c:pt>
                <c:pt idx="52">
                  <c:v>-727.27272727272759</c:v>
                </c:pt>
                <c:pt idx="53">
                  <c:v>-727.27272727272759</c:v>
                </c:pt>
                <c:pt idx="54">
                  <c:v>-727.27272727272759</c:v>
                </c:pt>
                <c:pt idx="55">
                  <c:v>-727.27272727272759</c:v>
                </c:pt>
                <c:pt idx="56">
                  <c:v>-727.27272727272759</c:v>
                </c:pt>
                <c:pt idx="57">
                  <c:v>-727.27272727272759</c:v>
                </c:pt>
                <c:pt idx="58">
                  <c:v>-727.27272727272759</c:v>
                </c:pt>
                <c:pt idx="59">
                  <c:v>-727.27272727272759</c:v>
                </c:pt>
                <c:pt idx="60">
                  <c:v>-727.27272727272759</c:v>
                </c:pt>
                <c:pt idx="61">
                  <c:v>-727.27272727272759</c:v>
                </c:pt>
                <c:pt idx="62">
                  <c:v>-727.27272727272759</c:v>
                </c:pt>
                <c:pt idx="63">
                  <c:v>-727.27272727272759</c:v>
                </c:pt>
                <c:pt idx="64">
                  <c:v>-727.27272727272759</c:v>
                </c:pt>
                <c:pt idx="65">
                  <c:v>-727.27272727272759</c:v>
                </c:pt>
                <c:pt idx="66">
                  <c:v>-727.27272727272759</c:v>
                </c:pt>
                <c:pt idx="67">
                  <c:v>-727.27272727272759</c:v>
                </c:pt>
                <c:pt idx="68">
                  <c:v>-727.27272727272759</c:v>
                </c:pt>
                <c:pt idx="69">
                  <c:v>-727.27272727272759</c:v>
                </c:pt>
                <c:pt idx="70">
                  <c:v>-727.27272727272759</c:v>
                </c:pt>
                <c:pt idx="71">
                  <c:v>-727.27272727272759</c:v>
                </c:pt>
                <c:pt idx="72">
                  <c:v>-727.27272727272759</c:v>
                </c:pt>
                <c:pt idx="73">
                  <c:v>-727.27272727272759</c:v>
                </c:pt>
                <c:pt idx="74">
                  <c:v>-727.27272727272759</c:v>
                </c:pt>
                <c:pt idx="75">
                  <c:v>-727.27272727272759</c:v>
                </c:pt>
                <c:pt idx="76">
                  <c:v>-727.27272727272759</c:v>
                </c:pt>
                <c:pt idx="77">
                  <c:v>-727.27272727272759</c:v>
                </c:pt>
                <c:pt idx="78">
                  <c:v>-727.27272727272759</c:v>
                </c:pt>
                <c:pt idx="79">
                  <c:v>-727.27272727272759</c:v>
                </c:pt>
                <c:pt idx="80">
                  <c:v>-727.27272727272759</c:v>
                </c:pt>
                <c:pt idx="81">
                  <c:v>-727.27272727272759</c:v>
                </c:pt>
                <c:pt idx="82">
                  <c:v>-727.27272727272759</c:v>
                </c:pt>
                <c:pt idx="83">
                  <c:v>-727.27272727272759</c:v>
                </c:pt>
                <c:pt idx="84">
                  <c:v>-727.27272727272759</c:v>
                </c:pt>
                <c:pt idx="85">
                  <c:v>-727.27272727272759</c:v>
                </c:pt>
                <c:pt idx="86">
                  <c:v>-727.27272727272759</c:v>
                </c:pt>
                <c:pt idx="87">
                  <c:v>-727.27272727272759</c:v>
                </c:pt>
                <c:pt idx="88">
                  <c:v>-727.27272727272759</c:v>
                </c:pt>
                <c:pt idx="89">
                  <c:v>-727.27272727272759</c:v>
                </c:pt>
                <c:pt idx="90">
                  <c:v>-727.27272727272759</c:v>
                </c:pt>
                <c:pt idx="91">
                  <c:v>-727.27272727272759</c:v>
                </c:pt>
                <c:pt idx="92">
                  <c:v>-727.27272727272759</c:v>
                </c:pt>
                <c:pt idx="93">
                  <c:v>-727.27272727272759</c:v>
                </c:pt>
                <c:pt idx="94">
                  <c:v>-727.27272727272759</c:v>
                </c:pt>
                <c:pt idx="95">
                  <c:v>-727.27272727272759</c:v>
                </c:pt>
                <c:pt idx="96">
                  <c:v>-727.27272727272759</c:v>
                </c:pt>
                <c:pt idx="97">
                  <c:v>-727.27272727272759</c:v>
                </c:pt>
                <c:pt idx="98">
                  <c:v>-727.27272727272759</c:v>
                </c:pt>
                <c:pt idx="99">
                  <c:v>726.54359016010994</c:v>
                </c:pt>
                <c:pt idx="100">
                  <c:v>690.81625043285931</c:v>
                </c:pt>
                <c:pt idx="101">
                  <c:v>654.36197180774627</c:v>
                </c:pt>
                <c:pt idx="102">
                  <c:v>581.46778301235861</c:v>
                </c:pt>
                <c:pt idx="103">
                  <c:v>508.60367858702392</c:v>
                </c:pt>
                <c:pt idx="104">
                  <c:v>435.78019035142165</c:v>
                </c:pt>
                <c:pt idx="105">
                  <c:v>363.00523839486431</c:v>
                </c:pt>
                <c:pt idx="106">
                  <c:v>290.28450502038123</c:v>
                </c:pt>
                <c:pt idx="107">
                  <c:v>217.62180844148372</c:v>
                </c:pt>
                <c:pt idx="108">
                  <c:v>145.01947620210984</c:v>
                </c:pt>
                <c:pt idx="109">
                  <c:v>72.478718299823484</c:v>
                </c:pt>
                <c:pt idx="110">
                  <c:v>36.231594023936765</c:v>
                </c:pt>
                <c:pt idx="111">
                  <c:v>0.72447965746038456</c:v>
                </c:pt>
                <c:pt idx="112">
                  <c:v>7.5812655908850312E-14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6260736"/>
        <c:axId val="426262528"/>
      </c:scatterChart>
      <c:valAx>
        <c:axId val="426260736"/>
        <c:scaling>
          <c:orientation val="minMax"/>
          <c:min val="0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426262528"/>
        <c:crosses val="autoZero"/>
        <c:crossBetween val="midCat"/>
      </c:valAx>
      <c:valAx>
        <c:axId val="42626252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e-CH"/>
                  <a:t>Querkraft (kN/m) resp Moment (kNm/m)</a:t>
                </a:r>
              </a:p>
            </c:rich>
          </c:tx>
          <c:layout/>
          <c:overlay val="0"/>
        </c:title>
        <c:numFmt formatCode="0" sourceLinked="1"/>
        <c:majorTickMark val="out"/>
        <c:minorTickMark val="none"/>
        <c:tickLblPos val="nextTo"/>
        <c:crossAx val="426260736"/>
        <c:crosses val="autoZero"/>
        <c:crossBetween val="midCat"/>
      </c:valAx>
    </c:plotArea>
    <c:legend>
      <c:legendPos val="t"/>
      <c:layout/>
      <c:overlay val="0"/>
      <c:txPr>
        <a:bodyPr/>
        <a:lstStyle/>
        <a:p>
          <a:pPr>
            <a:defRPr sz="1200" b="1"/>
          </a:pPr>
          <a:endParaRPr lang="de-DE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CH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Vorlage!$K$2:$K$3</c:f>
              <c:strCache>
                <c:ptCount val="1"/>
                <c:pt idx="0">
                  <c:v>Moment M (kNm/m)</c:v>
                </c:pt>
              </c:strCache>
            </c:strRef>
          </c:tx>
          <c:marker>
            <c:symbol val="none"/>
          </c:marker>
          <c:xVal>
            <c:numRef>
              <c:f>Vorlage!$J$4:$J$760</c:f>
              <c:numCache>
                <c:formatCode>General</c:formatCode>
                <c:ptCount val="757"/>
                <c:pt idx="0">
                  <c:v>0</c:v>
                </c:pt>
                <c:pt idx="1">
                  <c:v>2.7500000000000003E-3</c:v>
                </c:pt>
                <c:pt idx="2">
                  <c:v>0.13750000000000001</c:v>
                </c:pt>
                <c:pt idx="3">
                  <c:v>0.27500000000000002</c:v>
                </c:pt>
                <c:pt idx="4">
                  <c:v>0.55000000000000004</c:v>
                </c:pt>
                <c:pt idx="5">
                  <c:v>0.82500000000000007</c:v>
                </c:pt>
                <c:pt idx="6">
                  <c:v>1.1000000000000001</c:v>
                </c:pt>
                <c:pt idx="7">
                  <c:v>1.375</c:v>
                </c:pt>
                <c:pt idx="8">
                  <c:v>1.6500000000000001</c:v>
                </c:pt>
                <c:pt idx="9">
                  <c:v>1.9250000000000003</c:v>
                </c:pt>
                <c:pt idx="10">
                  <c:v>2.2000000000000002</c:v>
                </c:pt>
                <c:pt idx="11">
                  <c:v>2.4750000000000001</c:v>
                </c:pt>
                <c:pt idx="12">
                  <c:v>2.6125000000000003</c:v>
                </c:pt>
                <c:pt idx="13">
                  <c:v>2.7472500000000002</c:v>
                </c:pt>
                <c:pt idx="14">
                  <c:v>2.75</c:v>
                </c:pt>
                <c:pt idx="15">
                  <c:v>2.75</c:v>
                </c:pt>
                <c:pt idx="16">
                  <c:v>2.75</c:v>
                </c:pt>
                <c:pt idx="17">
                  <c:v>2.75</c:v>
                </c:pt>
                <c:pt idx="18">
                  <c:v>2.75</c:v>
                </c:pt>
                <c:pt idx="19">
                  <c:v>2.75</c:v>
                </c:pt>
                <c:pt idx="20">
                  <c:v>2.75</c:v>
                </c:pt>
                <c:pt idx="21">
                  <c:v>2.75</c:v>
                </c:pt>
                <c:pt idx="22">
                  <c:v>2.75</c:v>
                </c:pt>
                <c:pt idx="23">
                  <c:v>2.75</c:v>
                </c:pt>
                <c:pt idx="24">
                  <c:v>2.75</c:v>
                </c:pt>
                <c:pt idx="25">
                  <c:v>2.75</c:v>
                </c:pt>
                <c:pt idx="26">
                  <c:v>2.75</c:v>
                </c:pt>
                <c:pt idx="27">
                  <c:v>2.75</c:v>
                </c:pt>
                <c:pt idx="28">
                  <c:v>2.75</c:v>
                </c:pt>
                <c:pt idx="29">
                  <c:v>2.75</c:v>
                </c:pt>
                <c:pt idx="30">
                  <c:v>2.75</c:v>
                </c:pt>
                <c:pt idx="31">
                  <c:v>2.75</c:v>
                </c:pt>
                <c:pt idx="32">
                  <c:v>2.75</c:v>
                </c:pt>
                <c:pt idx="33">
                  <c:v>2.75</c:v>
                </c:pt>
                <c:pt idx="34">
                  <c:v>2.75</c:v>
                </c:pt>
                <c:pt idx="35">
                  <c:v>2.75</c:v>
                </c:pt>
                <c:pt idx="36">
                  <c:v>2.75</c:v>
                </c:pt>
                <c:pt idx="37">
                  <c:v>2.75</c:v>
                </c:pt>
                <c:pt idx="38">
                  <c:v>2.75</c:v>
                </c:pt>
                <c:pt idx="39">
                  <c:v>2.75</c:v>
                </c:pt>
                <c:pt idx="40">
                  <c:v>2.75</c:v>
                </c:pt>
                <c:pt idx="41">
                  <c:v>2.75</c:v>
                </c:pt>
                <c:pt idx="42">
                  <c:v>2.75</c:v>
                </c:pt>
                <c:pt idx="43">
                  <c:v>2.75</c:v>
                </c:pt>
                <c:pt idx="44">
                  <c:v>2.75</c:v>
                </c:pt>
                <c:pt idx="45">
                  <c:v>2.75</c:v>
                </c:pt>
                <c:pt idx="46">
                  <c:v>2.75</c:v>
                </c:pt>
                <c:pt idx="47">
                  <c:v>2.75</c:v>
                </c:pt>
                <c:pt idx="48">
                  <c:v>2.75</c:v>
                </c:pt>
                <c:pt idx="49">
                  <c:v>2.75</c:v>
                </c:pt>
                <c:pt idx="50">
                  <c:v>2.75</c:v>
                </c:pt>
                <c:pt idx="51">
                  <c:v>2.75</c:v>
                </c:pt>
                <c:pt idx="52">
                  <c:v>2.75</c:v>
                </c:pt>
                <c:pt idx="53">
                  <c:v>2.75</c:v>
                </c:pt>
                <c:pt idx="54">
                  <c:v>2.75</c:v>
                </c:pt>
                <c:pt idx="55">
                  <c:v>2.75</c:v>
                </c:pt>
                <c:pt idx="56">
                  <c:v>2.75</c:v>
                </c:pt>
                <c:pt idx="57">
                  <c:v>2.75</c:v>
                </c:pt>
                <c:pt idx="58">
                  <c:v>2.75</c:v>
                </c:pt>
                <c:pt idx="59">
                  <c:v>2.75</c:v>
                </c:pt>
                <c:pt idx="60">
                  <c:v>2.75</c:v>
                </c:pt>
                <c:pt idx="61">
                  <c:v>2.75</c:v>
                </c:pt>
                <c:pt idx="62">
                  <c:v>2.75</c:v>
                </c:pt>
                <c:pt idx="63">
                  <c:v>2.75</c:v>
                </c:pt>
                <c:pt idx="64">
                  <c:v>2.75</c:v>
                </c:pt>
                <c:pt idx="65">
                  <c:v>2.75</c:v>
                </c:pt>
                <c:pt idx="66">
                  <c:v>2.75</c:v>
                </c:pt>
                <c:pt idx="67">
                  <c:v>2.75</c:v>
                </c:pt>
                <c:pt idx="68">
                  <c:v>2.75</c:v>
                </c:pt>
                <c:pt idx="69">
                  <c:v>2.75</c:v>
                </c:pt>
                <c:pt idx="70">
                  <c:v>2.75</c:v>
                </c:pt>
                <c:pt idx="71">
                  <c:v>2.75</c:v>
                </c:pt>
                <c:pt idx="72">
                  <c:v>2.75</c:v>
                </c:pt>
                <c:pt idx="73">
                  <c:v>2.75</c:v>
                </c:pt>
                <c:pt idx="74">
                  <c:v>2.75</c:v>
                </c:pt>
                <c:pt idx="75">
                  <c:v>2.75</c:v>
                </c:pt>
                <c:pt idx="76">
                  <c:v>2.75</c:v>
                </c:pt>
                <c:pt idx="77">
                  <c:v>2.75</c:v>
                </c:pt>
                <c:pt idx="78">
                  <c:v>2.75</c:v>
                </c:pt>
                <c:pt idx="79">
                  <c:v>2.75</c:v>
                </c:pt>
                <c:pt idx="80">
                  <c:v>2.75</c:v>
                </c:pt>
                <c:pt idx="81">
                  <c:v>2.75</c:v>
                </c:pt>
                <c:pt idx="82">
                  <c:v>2.75</c:v>
                </c:pt>
                <c:pt idx="83">
                  <c:v>2.75</c:v>
                </c:pt>
                <c:pt idx="84">
                  <c:v>2.75</c:v>
                </c:pt>
                <c:pt idx="85">
                  <c:v>2.75</c:v>
                </c:pt>
                <c:pt idx="86">
                  <c:v>2.75</c:v>
                </c:pt>
                <c:pt idx="87">
                  <c:v>2.75</c:v>
                </c:pt>
                <c:pt idx="88">
                  <c:v>2.75</c:v>
                </c:pt>
                <c:pt idx="89">
                  <c:v>2.75</c:v>
                </c:pt>
                <c:pt idx="90">
                  <c:v>2.75</c:v>
                </c:pt>
                <c:pt idx="91">
                  <c:v>2.75</c:v>
                </c:pt>
                <c:pt idx="92">
                  <c:v>2.75</c:v>
                </c:pt>
                <c:pt idx="93">
                  <c:v>2.75</c:v>
                </c:pt>
                <c:pt idx="94">
                  <c:v>2.75</c:v>
                </c:pt>
                <c:pt idx="95">
                  <c:v>2.75</c:v>
                </c:pt>
                <c:pt idx="96">
                  <c:v>2.75</c:v>
                </c:pt>
                <c:pt idx="97">
                  <c:v>2.75</c:v>
                </c:pt>
                <c:pt idx="98">
                  <c:v>2.75</c:v>
                </c:pt>
                <c:pt idx="99">
                  <c:v>2.7527499999999998</c:v>
                </c:pt>
                <c:pt idx="100">
                  <c:v>2.8875000000000002</c:v>
                </c:pt>
                <c:pt idx="101">
                  <c:v>3.0249999999999999</c:v>
                </c:pt>
                <c:pt idx="102">
                  <c:v>3.3</c:v>
                </c:pt>
                <c:pt idx="103">
                  <c:v>3.5750000000000002</c:v>
                </c:pt>
                <c:pt idx="104">
                  <c:v>3.85</c:v>
                </c:pt>
                <c:pt idx="105">
                  <c:v>4.125</c:v>
                </c:pt>
                <c:pt idx="106">
                  <c:v>4.4000000000000004</c:v>
                </c:pt>
                <c:pt idx="107">
                  <c:v>4.6750000000000007</c:v>
                </c:pt>
                <c:pt idx="108">
                  <c:v>4.95</c:v>
                </c:pt>
                <c:pt idx="109">
                  <c:v>5.2249999999999996</c:v>
                </c:pt>
                <c:pt idx="110">
                  <c:v>5.3625000000000007</c:v>
                </c:pt>
                <c:pt idx="111">
                  <c:v>5.4972500000000002</c:v>
                </c:pt>
                <c:pt idx="112">
                  <c:v>5.5</c:v>
                </c:pt>
              </c:numCache>
            </c:numRef>
          </c:xVal>
          <c:yVal>
            <c:numRef>
              <c:f>Vorlage!$K$4:$K$760</c:f>
              <c:numCache>
                <c:formatCode>0</c:formatCode>
                <c:ptCount val="757"/>
                <c:pt idx="0">
                  <c:v>-1.5484373809251402E-13</c:v>
                </c:pt>
                <c:pt idx="1">
                  <c:v>-9.9615810502855034E-4</c:v>
                </c:pt>
                <c:pt idx="2">
                  <c:v>-2.4907441094753584</c:v>
                </c:pt>
                <c:pt idx="3">
                  <c:v>-9.9644001775626645</c:v>
                </c:pt>
                <c:pt idx="4">
                  <c:v>-39.868983165726519</c:v>
                </c:pt>
                <c:pt idx="5">
                  <c:v>-89.730758678411831</c:v>
                </c:pt>
                <c:pt idx="6">
                  <c:v>-159.56651462094513</c:v>
                </c:pt>
                <c:pt idx="7">
                  <c:v>-249.39256103393237</c:v>
                </c:pt>
                <c:pt idx="8">
                  <c:v>-359.22437147053813</c:v>
                </c:pt>
                <c:pt idx="9">
                  <c:v>-489.07612172371648</c:v>
                </c:pt>
                <c:pt idx="10">
                  <c:v>-638.96012582433843</c:v>
                </c:pt>
                <c:pt idx="11">
                  <c:v>-808.88616923790357</c:v>
                </c:pt>
                <c:pt idx="12">
                  <c:v>-901.3671349404508</c:v>
                </c:pt>
                <c:pt idx="13">
                  <c:v>-996.86174176070551</c:v>
                </c:pt>
                <c:pt idx="14">
                  <c:v>-998.86073919717353</c:v>
                </c:pt>
                <c:pt idx="15">
                  <c:v>-998.86073919717353</c:v>
                </c:pt>
                <c:pt idx="16">
                  <c:v>-998.86073919717353</c:v>
                </c:pt>
                <c:pt idx="17">
                  <c:v>-998.86073919717353</c:v>
                </c:pt>
                <c:pt idx="18">
                  <c:v>-998.86073919717353</c:v>
                </c:pt>
                <c:pt idx="19">
                  <c:v>-998.86073919717353</c:v>
                </c:pt>
                <c:pt idx="20">
                  <c:v>-998.86073919717353</c:v>
                </c:pt>
                <c:pt idx="21">
                  <c:v>-998.86073919717353</c:v>
                </c:pt>
                <c:pt idx="22">
                  <c:v>-998.86073919717353</c:v>
                </c:pt>
                <c:pt idx="23">
                  <c:v>-998.86073919717353</c:v>
                </c:pt>
                <c:pt idx="24">
                  <c:v>-998.86073919717353</c:v>
                </c:pt>
                <c:pt idx="25">
                  <c:v>-998.86073919717353</c:v>
                </c:pt>
                <c:pt idx="26">
                  <c:v>-998.86073919717353</c:v>
                </c:pt>
                <c:pt idx="27">
                  <c:v>-998.86073919717353</c:v>
                </c:pt>
                <c:pt idx="28">
                  <c:v>-998.86073919717353</c:v>
                </c:pt>
                <c:pt idx="29">
                  <c:v>-998.86073919717353</c:v>
                </c:pt>
                <c:pt idx="30">
                  <c:v>-998.86073919717353</c:v>
                </c:pt>
                <c:pt idx="31">
                  <c:v>-998.86073919717353</c:v>
                </c:pt>
                <c:pt idx="32">
                  <c:v>-998.86073919717353</c:v>
                </c:pt>
                <c:pt idx="33">
                  <c:v>-998.86073919717353</c:v>
                </c:pt>
                <c:pt idx="34">
                  <c:v>-998.86073919717353</c:v>
                </c:pt>
                <c:pt idx="35">
                  <c:v>-998.86073919717353</c:v>
                </c:pt>
                <c:pt idx="36">
                  <c:v>-998.86073919717353</c:v>
                </c:pt>
                <c:pt idx="37">
                  <c:v>-998.86073919717353</c:v>
                </c:pt>
                <c:pt idx="38">
                  <c:v>-998.86073919717353</c:v>
                </c:pt>
                <c:pt idx="39">
                  <c:v>-998.86073919717353</c:v>
                </c:pt>
                <c:pt idx="40">
                  <c:v>-998.86073919717353</c:v>
                </c:pt>
                <c:pt idx="41">
                  <c:v>-998.86073919717353</c:v>
                </c:pt>
                <c:pt idx="42">
                  <c:v>-998.86073919717353</c:v>
                </c:pt>
                <c:pt idx="43">
                  <c:v>-998.86073919717353</c:v>
                </c:pt>
                <c:pt idx="44">
                  <c:v>-998.86073919717353</c:v>
                </c:pt>
                <c:pt idx="45">
                  <c:v>-998.86073919717353</c:v>
                </c:pt>
                <c:pt idx="46">
                  <c:v>-998.86073919717353</c:v>
                </c:pt>
                <c:pt idx="47">
                  <c:v>-998.86073919717353</c:v>
                </c:pt>
                <c:pt idx="48">
                  <c:v>-998.86073919717353</c:v>
                </c:pt>
                <c:pt idx="49">
                  <c:v>-998.86073919717353</c:v>
                </c:pt>
                <c:pt idx="50">
                  <c:v>-998.86073919717353</c:v>
                </c:pt>
                <c:pt idx="51">
                  <c:v>-998.86073919717353</c:v>
                </c:pt>
                <c:pt idx="52">
                  <c:v>-998.86073919717353</c:v>
                </c:pt>
                <c:pt idx="53">
                  <c:v>-998.86073919717353</c:v>
                </c:pt>
                <c:pt idx="54">
                  <c:v>-998.86073919717353</c:v>
                </c:pt>
                <c:pt idx="55">
                  <c:v>-998.86073919717353</c:v>
                </c:pt>
                <c:pt idx="56">
                  <c:v>-998.86073919717353</c:v>
                </c:pt>
                <c:pt idx="57">
                  <c:v>-998.86073919717353</c:v>
                </c:pt>
                <c:pt idx="58">
                  <c:v>-998.86073919717353</c:v>
                </c:pt>
                <c:pt idx="59">
                  <c:v>-998.86073919717353</c:v>
                </c:pt>
                <c:pt idx="60">
                  <c:v>-998.86073919717353</c:v>
                </c:pt>
                <c:pt idx="61">
                  <c:v>-998.86073919717353</c:v>
                </c:pt>
                <c:pt idx="62">
                  <c:v>-998.86073919717353</c:v>
                </c:pt>
                <c:pt idx="63">
                  <c:v>-998.86073919717353</c:v>
                </c:pt>
                <c:pt idx="64">
                  <c:v>-998.86073919717353</c:v>
                </c:pt>
                <c:pt idx="65">
                  <c:v>-998.86073919717353</c:v>
                </c:pt>
                <c:pt idx="66">
                  <c:v>-998.86073919717353</c:v>
                </c:pt>
                <c:pt idx="67">
                  <c:v>-998.86073919717353</c:v>
                </c:pt>
                <c:pt idx="68">
                  <c:v>-998.86073919717353</c:v>
                </c:pt>
                <c:pt idx="69">
                  <c:v>-998.86073919717353</c:v>
                </c:pt>
                <c:pt idx="70">
                  <c:v>-998.86073919717353</c:v>
                </c:pt>
                <c:pt idx="71">
                  <c:v>-998.86073919717353</c:v>
                </c:pt>
                <c:pt idx="72">
                  <c:v>-998.86073919717353</c:v>
                </c:pt>
                <c:pt idx="73">
                  <c:v>-998.86073919717353</c:v>
                </c:pt>
                <c:pt idx="74">
                  <c:v>-998.86073919717353</c:v>
                </c:pt>
                <c:pt idx="75">
                  <c:v>-998.86073919717353</c:v>
                </c:pt>
                <c:pt idx="76">
                  <c:v>-998.86073919717353</c:v>
                </c:pt>
                <c:pt idx="77">
                  <c:v>-998.86073919717353</c:v>
                </c:pt>
                <c:pt idx="78">
                  <c:v>-998.86073919717353</c:v>
                </c:pt>
                <c:pt idx="79">
                  <c:v>-998.86073919717353</c:v>
                </c:pt>
                <c:pt idx="80">
                  <c:v>-998.86073919717353</c:v>
                </c:pt>
                <c:pt idx="81">
                  <c:v>-998.86073919717353</c:v>
                </c:pt>
                <c:pt idx="82">
                  <c:v>-998.86073919717353</c:v>
                </c:pt>
                <c:pt idx="83">
                  <c:v>-998.86073919717353</c:v>
                </c:pt>
                <c:pt idx="84">
                  <c:v>-998.86073919717353</c:v>
                </c:pt>
                <c:pt idx="85">
                  <c:v>-998.86073919717353</c:v>
                </c:pt>
                <c:pt idx="86">
                  <c:v>-998.86073919717353</c:v>
                </c:pt>
                <c:pt idx="87">
                  <c:v>-998.86073919717353</c:v>
                </c:pt>
                <c:pt idx="88">
                  <c:v>-998.86073919717353</c:v>
                </c:pt>
                <c:pt idx="89">
                  <c:v>-998.86073919717353</c:v>
                </c:pt>
                <c:pt idx="90">
                  <c:v>-998.86073919717353</c:v>
                </c:pt>
                <c:pt idx="91">
                  <c:v>-998.86073919717353</c:v>
                </c:pt>
                <c:pt idx="92">
                  <c:v>-998.86073919717353</c:v>
                </c:pt>
                <c:pt idx="93">
                  <c:v>-998.86073919717353</c:v>
                </c:pt>
                <c:pt idx="94">
                  <c:v>-998.86073919717353</c:v>
                </c:pt>
                <c:pt idx="95">
                  <c:v>-998.86073919717353</c:v>
                </c:pt>
                <c:pt idx="96">
                  <c:v>-998.86073919717353</c:v>
                </c:pt>
                <c:pt idx="97">
                  <c:v>-998.86073919717353</c:v>
                </c:pt>
                <c:pt idx="98">
                  <c:v>-998.86073919717353</c:v>
                </c:pt>
                <c:pt idx="99">
                  <c:v>-996.86174176070517</c:v>
                </c:pt>
                <c:pt idx="100">
                  <c:v>-901.36713494045</c:v>
                </c:pt>
                <c:pt idx="101">
                  <c:v>-808.88616923790312</c:v>
                </c:pt>
                <c:pt idx="102">
                  <c:v>-638.96012582433809</c:v>
                </c:pt>
                <c:pt idx="103">
                  <c:v>-489.07612172371626</c:v>
                </c:pt>
                <c:pt idx="104">
                  <c:v>-359.2243714705379</c:v>
                </c:pt>
                <c:pt idx="105">
                  <c:v>-249.39256103393228</c:v>
                </c:pt>
                <c:pt idx="106">
                  <c:v>-159.5665146209445</c:v>
                </c:pt>
                <c:pt idx="107">
                  <c:v>-89.730758678411675</c:v>
                </c:pt>
                <c:pt idx="108">
                  <c:v>-39.868983165726675</c:v>
                </c:pt>
                <c:pt idx="109">
                  <c:v>-9.9644001775623554</c:v>
                </c:pt>
                <c:pt idx="110">
                  <c:v>-2.4907441094752034</c:v>
                </c:pt>
                <c:pt idx="111">
                  <c:v>-9.9615810533823794E-4</c:v>
                </c:pt>
                <c:pt idx="112">
                  <c:v>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Vorlage!$O$2:$O$3</c:f>
              <c:strCache>
                <c:ptCount val="1"/>
                <c:pt idx="0">
                  <c:v>STV M (kNm/m)</c:v>
                </c:pt>
              </c:strCache>
            </c:strRef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Vorlage!$J$4:$J$760</c:f>
              <c:numCache>
                <c:formatCode>General</c:formatCode>
                <c:ptCount val="757"/>
                <c:pt idx="0">
                  <c:v>0</c:v>
                </c:pt>
                <c:pt idx="1">
                  <c:v>2.7500000000000003E-3</c:v>
                </c:pt>
                <c:pt idx="2">
                  <c:v>0.13750000000000001</c:v>
                </c:pt>
                <c:pt idx="3">
                  <c:v>0.27500000000000002</c:v>
                </c:pt>
                <c:pt idx="4">
                  <c:v>0.55000000000000004</c:v>
                </c:pt>
                <c:pt idx="5">
                  <c:v>0.82500000000000007</c:v>
                </c:pt>
                <c:pt idx="6">
                  <c:v>1.1000000000000001</c:v>
                </c:pt>
                <c:pt idx="7">
                  <c:v>1.375</c:v>
                </c:pt>
                <c:pt idx="8">
                  <c:v>1.6500000000000001</c:v>
                </c:pt>
                <c:pt idx="9">
                  <c:v>1.9250000000000003</c:v>
                </c:pt>
                <c:pt idx="10">
                  <c:v>2.2000000000000002</c:v>
                </c:pt>
                <c:pt idx="11">
                  <c:v>2.4750000000000001</c:v>
                </c:pt>
                <c:pt idx="12">
                  <c:v>2.6125000000000003</c:v>
                </c:pt>
                <c:pt idx="13">
                  <c:v>2.7472500000000002</c:v>
                </c:pt>
                <c:pt idx="14">
                  <c:v>2.75</c:v>
                </c:pt>
                <c:pt idx="15">
                  <c:v>2.75</c:v>
                </c:pt>
                <c:pt idx="16">
                  <c:v>2.75</c:v>
                </c:pt>
                <c:pt idx="17">
                  <c:v>2.75</c:v>
                </c:pt>
                <c:pt idx="18">
                  <c:v>2.75</c:v>
                </c:pt>
                <c:pt idx="19">
                  <c:v>2.75</c:v>
                </c:pt>
                <c:pt idx="20">
                  <c:v>2.75</c:v>
                </c:pt>
                <c:pt idx="21">
                  <c:v>2.75</c:v>
                </c:pt>
                <c:pt idx="22">
                  <c:v>2.75</c:v>
                </c:pt>
                <c:pt idx="23">
                  <c:v>2.75</c:v>
                </c:pt>
                <c:pt idx="24">
                  <c:v>2.75</c:v>
                </c:pt>
                <c:pt idx="25">
                  <c:v>2.75</c:v>
                </c:pt>
                <c:pt idx="26">
                  <c:v>2.75</c:v>
                </c:pt>
                <c:pt idx="27">
                  <c:v>2.75</c:v>
                </c:pt>
                <c:pt idx="28">
                  <c:v>2.75</c:v>
                </c:pt>
                <c:pt idx="29">
                  <c:v>2.75</c:v>
                </c:pt>
                <c:pt idx="30">
                  <c:v>2.75</c:v>
                </c:pt>
                <c:pt idx="31">
                  <c:v>2.75</c:v>
                </c:pt>
                <c:pt idx="32">
                  <c:v>2.75</c:v>
                </c:pt>
                <c:pt idx="33">
                  <c:v>2.75</c:v>
                </c:pt>
                <c:pt idx="34">
                  <c:v>2.75</c:v>
                </c:pt>
                <c:pt idx="35">
                  <c:v>2.75</c:v>
                </c:pt>
                <c:pt idx="36">
                  <c:v>2.75</c:v>
                </c:pt>
                <c:pt idx="37">
                  <c:v>2.75</c:v>
                </c:pt>
                <c:pt idx="38">
                  <c:v>2.75</c:v>
                </c:pt>
                <c:pt idx="39">
                  <c:v>2.75</c:v>
                </c:pt>
                <c:pt idx="40">
                  <c:v>2.75</c:v>
                </c:pt>
                <c:pt idx="41">
                  <c:v>2.75</c:v>
                </c:pt>
                <c:pt idx="42">
                  <c:v>2.75</c:v>
                </c:pt>
                <c:pt idx="43">
                  <c:v>2.75</c:v>
                </c:pt>
                <c:pt idx="44">
                  <c:v>2.75</c:v>
                </c:pt>
                <c:pt idx="45">
                  <c:v>2.75</c:v>
                </c:pt>
                <c:pt idx="46">
                  <c:v>2.75</c:v>
                </c:pt>
                <c:pt idx="47">
                  <c:v>2.75</c:v>
                </c:pt>
                <c:pt idx="48">
                  <c:v>2.75</c:v>
                </c:pt>
                <c:pt idx="49">
                  <c:v>2.75</c:v>
                </c:pt>
                <c:pt idx="50">
                  <c:v>2.75</c:v>
                </c:pt>
                <c:pt idx="51">
                  <c:v>2.75</c:v>
                </c:pt>
                <c:pt idx="52">
                  <c:v>2.75</c:v>
                </c:pt>
                <c:pt idx="53">
                  <c:v>2.75</c:v>
                </c:pt>
                <c:pt idx="54">
                  <c:v>2.75</c:v>
                </c:pt>
                <c:pt idx="55">
                  <c:v>2.75</c:v>
                </c:pt>
                <c:pt idx="56">
                  <c:v>2.75</c:v>
                </c:pt>
                <c:pt idx="57">
                  <c:v>2.75</c:v>
                </c:pt>
                <c:pt idx="58">
                  <c:v>2.75</c:v>
                </c:pt>
                <c:pt idx="59">
                  <c:v>2.75</c:v>
                </c:pt>
                <c:pt idx="60">
                  <c:v>2.75</c:v>
                </c:pt>
                <c:pt idx="61">
                  <c:v>2.75</c:v>
                </c:pt>
                <c:pt idx="62">
                  <c:v>2.75</c:v>
                </c:pt>
                <c:pt idx="63">
                  <c:v>2.75</c:v>
                </c:pt>
                <c:pt idx="64">
                  <c:v>2.75</c:v>
                </c:pt>
                <c:pt idx="65">
                  <c:v>2.75</c:v>
                </c:pt>
                <c:pt idx="66">
                  <c:v>2.75</c:v>
                </c:pt>
                <c:pt idx="67">
                  <c:v>2.75</c:v>
                </c:pt>
                <c:pt idx="68">
                  <c:v>2.75</c:v>
                </c:pt>
                <c:pt idx="69">
                  <c:v>2.75</c:v>
                </c:pt>
                <c:pt idx="70">
                  <c:v>2.75</c:v>
                </c:pt>
                <c:pt idx="71">
                  <c:v>2.75</c:v>
                </c:pt>
                <c:pt idx="72">
                  <c:v>2.75</c:v>
                </c:pt>
                <c:pt idx="73">
                  <c:v>2.75</c:v>
                </c:pt>
                <c:pt idx="74">
                  <c:v>2.75</c:v>
                </c:pt>
                <c:pt idx="75">
                  <c:v>2.75</c:v>
                </c:pt>
                <c:pt idx="76">
                  <c:v>2.75</c:v>
                </c:pt>
                <c:pt idx="77">
                  <c:v>2.75</c:v>
                </c:pt>
                <c:pt idx="78">
                  <c:v>2.75</c:v>
                </c:pt>
                <c:pt idx="79">
                  <c:v>2.75</c:v>
                </c:pt>
                <c:pt idx="80">
                  <c:v>2.75</c:v>
                </c:pt>
                <c:pt idx="81">
                  <c:v>2.75</c:v>
                </c:pt>
                <c:pt idx="82">
                  <c:v>2.75</c:v>
                </c:pt>
                <c:pt idx="83">
                  <c:v>2.75</c:v>
                </c:pt>
                <c:pt idx="84">
                  <c:v>2.75</c:v>
                </c:pt>
                <c:pt idx="85">
                  <c:v>2.75</c:v>
                </c:pt>
                <c:pt idx="86">
                  <c:v>2.75</c:v>
                </c:pt>
                <c:pt idx="87">
                  <c:v>2.75</c:v>
                </c:pt>
                <c:pt idx="88">
                  <c:v>2.75</c:v>
                </c:pt>
                <c:pt idx="89">
                  <c:v>2.75</c:v>
                </c:pt>
                <c:pt idx="90">
                  <c:v>2.75</c:v>
                </c:pt>
                <c:pt idx="91">
                  <c:v>2.75</c:v>
                </c:pt>
                <c:pt idx="92">
                  <c:v>2.75</c:v>
                </c:pt>
                <c:pt idx="93">
                  <c:v>2.75</c:v>
                </c:pt>
                <c:pt idx="94">
                  <c:v>2.75</c:v>
                </c:pt>
                <c:pt idx="95">
                  <c:v>2.75</c:v>
                </c:pt>
                <c:pt idx="96">
                  <c:v>2.75</c:v>
                </c:pt>
                <c:pt idx="97">
                  <c:v>2.75</c:v>
                </c:pt>
                <c:pt idx="98">
                  <c:v>2.75</c:v>
                </c:pt>
                <c:pt idx="99">
                  <c:v>2.7527499999999998</c:v>
                </c:pt>
                <c:pt idx="100">
                  <c:v>2.8875000000000002</c:v>
                </c:pt>
                <c:pt idx="101">
                  <c:v>3.0249999999999999</c:v>
                </c:pt>
                <c:pt idx="102">
                  <c:v>3.3</c:v>
                </c:pt>
                <c:pt idx="103">
                  <c:v>3.5750000000000002</c:v>
                </c:pt>
                <c:pt idx="104">
                  <c:v>3.85</c:v>
                </c:pt>
                <c:pt idx="105">
                  <c:v>4.125</c:v>
                </c:pt>
                <c:pt idx="106">
                  <c:v>4.4000000000000004</c:v>
                </c:pt>
                <c:pt idx="107">
                  <c:v>4.6750000000000007</c:v>
                </c:pt>
                <c:pt idx="108">
                  <c:v>4.95</c:v>
                </c:pt>
                <c:pt idx="109">
                  <c:v>5.2249999999999996</c:v>
                </c:pt>
                <c:pt idx="110">
                  <c:v>5.3625000000000007</c:v>
                </c:pt>
                <c:pt idx="111">
                  <c:v>5.4972500000000002</c:v>
                </c:pt>
                <c:pt idx="112">
                  <c:v>5.5</c:v>
                </c:pt>
              </c:numCache>
            </c:numRef>
          </c:xVal>
          <c:yVal>
            <c:numRef>
              <c:f>Vorlage!$O$4:$O$760</c:f>
              <c:numCache>
                <c:formatCode>0</c:formatCode>
                <c:ptCount val="757"/>
                <c:pt idx="0">
                  <c:v>-</c:v>
                </c:pt>
                <c:pt idx="1">
                  <c:v>-1.0000000000000002E-3</c:v>
                </c:pt>
                <c:pt idx="2">
                  <c:v>-2.5000000000000004</c:v>
                </c:pt>
                <c:pt idx="3">
                  <c:v>-10.000000000000002</c:v>
                </c:pt>
                <c:pt idx="4">
                  <c:v>-40.000000000000007</c:v>
                </c:pt>
                <c:pt idx="5">
                  <c:v>-90.000000000000014</c:v>
                </c:pt>
                <c:pt idx="6">
                  <c:v>-160.00000000000003</c:v>
                </c:pt>
                <c:pt idx="7">
                  <c:v>-250</c:v>
                </c:pt>
                <c:pt idx="8">
                  <c:v>-360.00000000000006</c:v>
                </c:pt>
                <c:pt idx="9">
                  <c:v>-490.00000000000006</c:v>
                </c:pt>
                <c:pt idx="10">
                  <c:v>-640.00000000000011</c:v>
                </c:pt>
                <c:pt idx="11">
                  <c:v>-810</c:v>
                </c:pt>
                <c:pt idx="12">
                  <c:v>-902.50000000000011</c:v>
                </c:pt>
                <c:pt idx="13">
                  <c:v>-998.00100000000009</c:v>
                </c:pt>
                <c:pt idx="14">
                  <c:v>-1000</c:v>
                </c:pt>
                <c:pt idx="15">
                  <c:v>-1000</c:v>
                </c:pt>
                <c:pt idx="16">
                  <c:v>-1000</c:v>
                </c:pt>
                <c:pt idx="17">
                  <c:v>-1000</c:v>
                </c:pt>
                <c:pt idx="18">
                  <c:v>-1000</c:v>
                </c:pt>
                <c:pt idx="19">
                  <c:v>-1000</c:v>
                </c:pt>
                <c:pt idx="20">
                  <c:v>-1000</c:v>
                </c:pt>
                <c:pt idx="21">
                  <c:v>-1000</c:v>
                </c:pt>
                <c:pt idx="22">
                  <c:v>-1000</c:v>
                </c:pt>
                <c:pt idx="23">
                  <c:v>-1000</c:v>
                </c:pt>
                <c:pt idx="24">
                  <c:v>-1000</c:v>
                </c:pt>
                <c:pt idx="25">
                  <c:v>-1000</c:v>
                </c:pt>
                <c:pt idx="26">
                  <c:v>-1000</c:v>
                </c:pt>
                <c:pt idx="27">
                  <c:v>-1000</c:v>
                </c:pt>
                <c:pt idx="28">
                  <c:v>-1000</c:v>
                </c:pt>
                <c:pt idx="29">
                  <c:v>-1000</c:v>
                </c:pt>
                <c:pt idx="30">
                  <c:v>-1000</c:v>
                </c:pt>
                <c:pt idx="31">
                  <c:v>-1000</c:v>
                </c:pt>
                <c:pt idx="32">
                  <c:v>-1000</c:v>
                </c:pt>
                <c:pt idx="33">
                  <c:v>-1000</c:v>
                </c:pt>
                <c:pt idx="34">
                  <c:v>-1000</c:v>
                </c:pt>
                <c:pt idx="35">
                  <c:v>-1000</c:v>
                </c:pt>
                <c:pt idx="36">
                  <c:v>-1000</c:v>
                </c:pt>
                <c:pt idx="37">
                  <c:v>-1000</c:v>
                </c:pt>
                <c:pt idx="38">
                  <c:v>-1000</c:v>
                </c:pt>
                <c:pt idx="39">
                  <c:v>-1000</c:v>
                </c:pt>
                <c:pt idx="40">
                  <c:v>-1000</c:v>
                </c:pt>
                <c:pt idx="41">
                  <c:v>-1000</c:v>
                </c:pt>
                <c:pt idx="42">
                  <c:v>-1000</c:v>
                </c:pt>
                <c:pt idx="43">
                  <c:v>-1000</c:v>
                </c:pt>
                <c:pt idx="44">
                  <c:v>-1000</c:v>
                </c:pt>
                <c:pt idx="45">
                  <c:v>-1000</c:v>
                </c:pt>
                <c:pt idx="46">
                  <c:v>-1000</c:v>
                </c:pt>
                <c:pt idx="47">
                  <c:v>-1000</c:v>
                </c:pt>
                <c:pt idx="48">
                  <c:v>-1000</c:v>
                </c:pt>
                <c:pt idx="49">
                  <c:v>-1000</c:v>
                </c:pt>
                <c:pt idx="50">
                  <c:v>-1000</c:v>
                </c:pt>
                <c:pt idx="51">
                  <c:v>-1000</c:v>
                </c:pt>
                <c:pt idx="52">
                  <c:v>-1000</c:v>
                </c:pt>
                <c:pt idx="53">
                  <c:v>-1000</c:v>
                </c:pt>
                <c:pt idx="54">
                  <c:v>-1000</c:v>
                </c:pt>
                <c:pt idx="55">
                  <c:v>-1000</c:v>
                </c:pt>
                <c:pt idx="56">
                  <c:v>-1000</c:v>
                </c:pt>
                <c:pt idx="57">
                  <c:v>-1000</c:v>
                </c:pt>
                <c:pt idx="58">
                  <c:v>-1000</c:v>
                </c:pt>
                <c:pt idx="59">
                  <c:v>-1000</c:v>
                </c:pt>
                <c:pt idx="60">
                  <c:v>-1000</c:v>
                </c:pt>
                <c:pt idx="61">
                  <c:v>-1000</c:v>
                </c:pt>
                <c:pt idx="62">
                  <c:v>-1000</c:v>
                </c:pt>
                <c:pt idx="63">
                  <c:v>-1000</c:v>
                </c:pt>
                <c:pt idx="64">
                  <c:v>-1000</c:v>
                </c:pt>
                <c:pt idx="65">
                  <c:v>-1000</c:v>
                </c:pt>
                <c:pt idx="66">
                  <c:v>-1000</c:v>
                </c:pt>
                <c:pt idx="67">
                  <c:v>-1000</c:v>
                </c:pt>
                <c:pt idx="68">
                  <c:v>-1000</c:v>
                </c:pt>
                <c:pt idx="69">
                  <c:v>-1000</c:v>
                </c:pt>
                <c:pt idx="70">
                  <c:v>-1000</c:v>
                </c:pt>
                <c:pt idx="71">
                  <c:v>-1000</c:v>
                </c:pt>
                <c:pt idx="72">
                  <c:v>-1000</c:v>
                </c:pt>
                <c:pt idx="73">
                  <c:v>-1000</c:v>
                </c:pt>
                <c:pt idx="74">
                  <c:v>-1000</c:v>
                </c:pt>
                <c:pt idx="75">
                  <c:v>-1000</c:v>
                </c:pt>
                <c:pt idx="76">
                  <c:v>-1000</c:v>
                </c:pt>
                <c:pt idx="77">
                  <c:v>-1000</c:v>
                </c:pt>
                <c:pt idx="78">
                  <c:v>-1000</c:v>
                </c:pt>
                <c:pt idx="79">
                  <c:v>-1000</c:v>
                </c:pt>
                <c:pt idx="80">
                  <c:v>-1000</c:v>
                </c:pt>
                <c:pt idx="81">
                  <c:v>-1000</c:v>
                </c:pt>
                <c:pt idx="82">
                  <c:v>-1000</c:v>
                </c:pt>
                <c:pt idx="83">
                  <c:v>-1000</c:v>
                </c:pt>
                <c:pt idx="84">
                  <c:v>-1000</c:v>
                </c:pt>
                <c:pt idx="85">
                  <c:v>-1000</c:v>
                </c:pt>
                <c:pt idx="86">
                  <c:v>-1000</c:v>
                </c:pt>
                <c:pt idx="87">
                  <c:v>-1000</c:v>
                </c:pt>
                <c:pt idx="88">
                  <c:v>-1000</c:v>
                </c:pt>
                <c:pt idx="89">
                  <c:v>-1000</c:v>
                </c:pt>
                <c:pt idx="90">
                  <c:v>-1000</c:v>
                </c:pt>
                <c:pt idx="91">
                  <c:v>-1000</c:v>
                </c:pt>
                <c:pt idx="92">
                  <c:v>-1000</c:v>
                </c:pt>
                <c:pt idx="93">
                  <c:v>-1000</c:v>
                </c:pt>
                <c:pt idx="94">
                  <c:v>-1000</c:v>
                </c:pt>
                <c:pt idx="95">
                  <c:v>-1000</c:v>
                </c:pt>
                <c:pt idx="96">
                  <c:v>-1000</c:v>
                </c:pt>
                <c:pt idx="97">
                  <c:v>-1000</c:v>
                </c:pt>
                <c:pt idx="98">
                  <c:v>-1000</c:v>
                </c:pt>
                <c:pt idx="99">
                  <c:v>-998.0010000000002</c:v>
                </c:pt>
                <c:pt idx="100">
                  <c:v>-902.49999999999966</c:v>
                </c:pt>
                <c:pt idx="101">
                  <c:v>-810.00000000000011</c:v>
                </c:pt>
                <c:pt idx="102">
                  <c:v>-640.00000000000011</c:v>
                </c:pt>
                <c:pt idx="103">
                  <c:v>-489.99999999999966</c:v>
                </c:pt>
                <c:pt idx="104">
                  <c:v>-360</c:v>
                </c:pt>
                <c:pt idx="105">
                  <c:v>-250</c:v>
                </c:pt>
                <c:pt idx="106">
                  <c:v>-159.99999999999966</c:v>
                </c:pt>
                <c:pt idx="107">
                  <c:v>-90</c:v>
                </c:pt>
                <c:pt idx="108">
                  <c:v>-40</c:v>
                </c:pt>
                <c:pt idx="109">
                  <c:v>-10</c:v>
                </c:pt>
                <c:pt idx="110">
                  <c:v>-2.5</c:v>
                </c:pt>
                <c:pt idx="111">
                  <c:v>-1.0000000005344521E-3</c:v>
                </c:pt>
                <c:pt idx="112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6291968"/>
        <c:axId val="426293504"/>
      </c:scatterChart>
      <c:valAx>
        <c:axId val="426291968"/>
        <c:scaling>
          <c:orientation val="minMax"/>
          <c:min val="0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426293504"/>
        <c:crosses val="autoZero"/>
        <c:crossBetween val="midCat"/>
      </c:valAx>
      <c:valAx>
        <c:axId val="426293504"/>
        <c:scaling>
          <c:orientation val="minMax"/>
        </c:scaling>
        <c:delete val="0"/>
        <c:axPos val="l"/>
        <c:majorGridlines/>
        <c:numFmt formatCode="0" sourceLinked="1"/>
        <c:majorTickMark val="out"/>
        <c:minorTickMark val="none"/>
        <c:tickLblPos val="nextTo"/>
        <c:crossAx val="42629196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66647778937693747"/>
          <c:y val="7.3306357538641009E-2"/>
          <c:w val="0.28467403282268861"/>
          <c:h val="0.3487576552930883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CH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200"/>
          </a:pPr>
          <a:endParaRPr lang="de-DE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Vorlage!$N$2:$N$3</c:f>
              <c:strCache>
                <c:ptCount val="1"/>
                <c:pt idx="0">
                  <c:v>Querkraft Q (kN/m)</c:v>
                </c:pt>
              </c:strCache>
            </c:strRef>
          </c:tx>
          <c:spPr>
            <a:ln>
              <a:solidFill>
                <a:schemeClr val="accent3"/>
              </a:solidFill>
            </a:ln>
          </c:spPr>
          <c:marker>
            <c:symbol val="none"/>
          </c:marker>
          <c:xVal>
            <c:numRef>
              <c:f>Vorlage!$J$4:$J$760</c:f>
              <c:numCache>
                <c:formatCode>General</c:formatCode>
                <c:ptCount val="757"/>
                <c:pt idx="0">
                  <c:v>0</c:v>
                </c:pt>
                <c:pt idx="1">
                  <c:v>2.7500000000000003E-3</c:v>
                </c:pt>
                <c:pt idx="2">
                  <c:v>0.13750000000000001</c:v>
                </c:pt>
                <c:pt idx="3">
                  <c:v>0.27500000000000002</c:v>
                </c:pt>
                <c:pt idx="4">
                  <c:v>0.55000000000000004</c:v>
                </c:pt>
                <c:pt idx="5">
                  <c:v>0.82500000000000007</c:v>
                </c:pt>
                <c:pt idx="6">
                  <c:v>1.1000000000000001</c:v>
                </c:pt>
                <c:pt idx="7">
                  <c:v>1.375</c:v>
                </c:pt>
                <c:pt idx="8">
                  <c:v>1.6500000000000001</c:v>
                </c:pt>
                <c:pt idx="9">
                  <c:v>1.9250000000000003</c:v>
                </c:pt>
                <c:pt idx="10">
                  <c:v>2.2000000000000002</c:v>
                </c:pt>
                <c:pt idx="11">
                  <c:v>2.4750000000000001</c:v>
                </c:pt>
                <c:pt idx="12">
                  <c:v>2.6125000000000003</c:v>
                </c:pt>
                <c:pt idx="13">
                  <c:v>2.7472500000000002</c:v>
                </c:pt>
                <c:pt idx="14">
                  <c:v>2.75</c:v>
                </c:pt>
                <c:pt idx="15">
                  <c:v>2.75</c:v>
                </c:pt>
                <c:pt idx="16">
                  <c:v>2.75</c:v>
                </c:pt>
                <c:pt idx="17">
                  <c:v>2.75</c:v>
                </c:pt>
                <c:pt idx="18">
                  <c:v>2.75</c:v>
                </c:pt>
                <c:pt idx="19">
                  <c:v>2.75</c:v>
                </c:pt>
                <c:pt idx="20">
                  <c:v>2.75</c:v>
                </c:pt>
                <c:pt idx="21">
                  <c:v>2.75</c:v>
                </c:pt>
                <c:pt idx="22">
                  <c:v>2.75</c:v>
                </c:pt>
                <c:pt idx="23">
                  <c:v>2.75</c:v>
                </c:pt>
                <c:pt idx="24">
                  <c:v>2.75</c:v>
                </c:pt>
                <c:pt idx="25">
                  <c:v>2.75</c:v>
                </c:pt>
                <c:pt idx="26">
                  <c:v>2.75</c:v>
                </c:pt>
                <c:pt idx="27">
                  <c:v>2.75</c:v>
                </c:pt>
                <c:pt idx="28">
                  <c:v>2.75</c:v>
                </c:pt>
                <c:pt idx="29">
                  <c:v>2.75</c:v>
                </c:pt>
                <c:pt idx="30">
                  <c:v>2.75</c:v>
                </c:pt>
                <c:pt idx="31">
                  <c:v>2.75</c:v>
                </c:pt>
                <c:pt idx="32">
                  <c:v>2.75</c:v>
                </c:pt>
                <c:pt idx="33">
                  <c:v>2.75</c:v>
                </c:pt>
                <c:pt idx="34">
                  <c:v>2.75</c:v>
                </c:pt>
                <c:pt idx="35">
                  <c:v>2.75</c:v>
                </c:pt>
                <c:pt idx="36">
                  <c:v>2.75</c:v>
                </c:pt>
                <c:pt idx="37">
                  <c:v>2.75</c:v>
                </c:pt>
                <c:pt idx="38">
                  <c:v>2.75</c:v>
                </c:pt>
                <c:pt idx="39">
                  <c:v>2.75</c:v>
                </c:pt>
                <c:pt idx="40">
                  <c:v>2.75</c:v>
                </c:pt>
                <c:pt idx="41">
                  <c:v>2.75</c:v>
                </c:pt>
                <c:pt idx="42">
                  <c:v>2.75</c:v>
                </c:pt>
                <c:pt idx="43">
                  <c:v>2.75</c:v>
                </c:pt>
                <c:pt idx="44">
                  <c:v>2.75</c:v>
                </c:pt>
                <c:pt idx="45">
                  <c:v>2.75</c:v>
                </c:pt>
                <c:pt idx="46">
                  <c:v>2.75</c:v>
                </c:pt>
                <c:pt idx="47">
                  <c:v>2.75</c:v>
                </c:pt>
                <c:pt idx="48">
                  <c:v>2.75</c:v>
                </c:pt>
                <c:pt idx="49">
                  <c:v>2.75</c:v>
                </c:pt>
                <c:pt idx="50">
                  <c:v>2.75</c:v>
                </c:pt>
                <c:pt idx="51">
                  <c:v>2.75</c:v>
                </c:pt>
                <c:pt idx="52">
                  <c:v>2.75</c:v>
                </c:pt>
                <c:pt idx="53">
                  <c:v>2.75</c:v>
                </c:pt>
                <c:pt idx="54">
                  <c:v>2.75</c:v>
                </c:pt>
                <c:pt idx="55">
                  <c:v>2.75</c:v>
                </c:pt>
                <c:pt idx="56">
                  <c:v>2.75</c:v>
                </c:pt>
                <c:pt idx="57">
                  <c:v>2.75</c:v>
                </c:pt>
                <c:pt idx="58">
                  <c:v>2.75</c:v>
                </c:pt>
                <c:pt idx="59">
                  <c:v>2.75</c:v>
                </c:pt>
                <c:pt idx="60">
                  <c:v>2.75</c:v>
                </c:pt>
                <c:pt idx="61">
                  <c:v>2.75</c:v>
                </c:pt>
                <c:pt idx="62">
                  <c:v>2.75</c:v>
                </c:pt>
                <c:pt idx="63">
                  <c:v>2.75</c:v>
                </c:pt>
                <c:pt idx="64">
                  <c:v>2.75</c:v>
                </c:pt>
                <c:pt idx="65">
                  <c:v>2.75</c:v>
                </c:pt>
                <c:pt idx="66">
                  <c:v>2.75</c:v>
                </c:pt>
                <c:pt idx="67">
                  <c:v>2.75</c:v>
                </c:pt>
                <c:pt idx="68">
                  <c:v>2.75</c:v>
                </c:pt>
                <c:pt idx="69">
                  <c:v>2.75</c:v>
                </c:pt>
                <c:pt idx="70">
                  <c:v>2.75</c:v>
                </c:pt>
                <c:pt idx="71">
                  <c:v>2.75</c:v>
                </c:pt>
                <c:pt idx="72">
                  <c:v>2.75</c:v>
                </c:pt>
                <c:pt idx="73">
                  <c:v>2.75</c:v>
                </c:pt>
                <c:pt idx="74">
                  <c:v>2.75</c:v>
                </c:pt>
                <c:pt idx="75">
                  <c:v>2.75</c:v>
                </c:pt>
                <c:pt idx="76">
                  <c:v>2.75</c:v>
                </c:pt>
                <c:pt idx="77">
                  <c:v>2.75</c:v>
                </c:pt>
                <c:pt idx="78">
                  <c:v>2.75</c:v>
                </c:pt>
                <c:pt idx="79">
                  <c:v>2.75</c:v>
                </c:pt>
                <c:pt idx="80">
                  <c:v>2.75</c:v>
                </c:pt>
                <c:pt idx="81">
                  <c:v>2.75</c:v>
                </c:pt>
                <c:pt idx="82">
                  <c:v>2.75</c:v>
                </c:pt>
                <c:pt idx="83">
                  <c:v>2.75</c:v>
                </c:pt>
                <c:pt idx="84">
                  <c:v>2.75</c:v>
                </c:pt>
                <c:pt idx="85">
                  <c:v>2.75</c:v>
                </c:pt>
                <c:pt idx="86">
                  <c:v>2.75</c:v>
                </c:pt>
                <c:pt idx="87">
                  <c:v>2.75</c:v>
                </c:pt>
                <c:pt idx="88">
                  <c:v>2.75</c:v>
                </c:pt>
                <c:pt idx="89">
                  <c:v>2.75</c:v>
                </c:pt>
                <c:pt idx="90">
                  <c:v>2.75</c:v>
                </c:pt>
                <c:pt idx="91">
                  <c:v>2.75</c:v>
                </c:pt>
                <c:pt idx="92">
                  <c:v>2.75</c:v>
                </c:pt>
                <c:pt idx="93">
                  <c:v>2.75</c:v>
                </c:pt>
                <c:pt idx="94">
                  <c:v>2.75</c:v>
                </c:pt>
                <c:pt idx="95">
                  <c:v>2.75</c:v>
                </c:pt>
                <c:pt idx="96">
                  <c:v>2.75</c:v>
                </c:pt>
                <c:pt idx="97">
                  <c:v>2.75</c:v>
                </c:pt>
                <c:pt idx="98">
                  <c:v>2.75</c:v>
                </c:pt>
                <c:pt idx="99">
                  <c:v>2.7527499999999998</c:v>
                </c:pt>
                <c:pt idx="100">
                  <c:v>2.8875000000000002</c:v>
                </c:pt>
                <c:pt idx="101">
                  <c:v>3.0249999999999999</c:v>
                </c:pt>
                <c:pt idx="102">
                  <c:v>3.3</c:v>
                </c:pt>
                <c:pt idx="103">
                  <c:v>3.5750000000000002</c:v>
                </c:pt>
                <c:pt idx="104">
                  <c:v>3.85</c:v>
                </c:pt>
                <c:pt idx="105">
                  <c:v>4.125</c:v>
                </c:pt>
                <c:pt idx="106">
                  <c:v>4.4000000000000004</c:v>
                </c:pt>
                <c:pt idx="107">
                  <c:v>4.6750000000000007</c:v>
                </c:pt>
                <c:pt idx="108">
                  <c:v>4.95</c:v>
                </c:pt>
                <c:pt idx="109">
                  <c:v>5.2249999999999996</c:v>
                </c:pt>
                <c:pt idx="110">
                  <c:v>5.3625000000000007</c:v>
                </c:pt>
                <c:pt idx="111">
                  <c:v>5.4972500000000002</c:v>
                </c:pt>
                <c:pt idx="112">
                  <c:v>5.5</c:v>
                </c:pt>
              </c:numCache>
            </c:numRef>
          </c:xVal>
          <c:yVal>
            <c:numRef>
              <c:f>Vorlage!$N$4:$N$760</c:f>
              <c:numCache>
                <c:formatCode>0</c:formatCode>
                <c:ptCount val="757"/>
                <c:pt idx="0">
                  <c:v>-2.2743796772655092E-13</c:v>
                </c:pt>
                <c:pt idx="1">
                  <c:v>-0.72447965746046039</c:v>
                </c:pt>
                <c:pt idx="2">
                  <c:v>-36.231594023937049</c:v>
                </c:pt>
                <c:pt idx="3">
                  <c:v>-72.478718299823484</c:v>
                </c:pt>
                <c:pt idx="4">
                  <c:v>-145.01947620210984</c:v>
                </c:pt>
                <c:pt idx="5">
                  <c:v>-217.62180844148403</c:v>
                </c:pt>
                <c:pt idx="6">
                  <c:v>-290.28450502038163</c:v>
                </c:pt>
                <c:pt idx="7">
                  <c:v>-363.00523839486453</c:v>
                </c:pt>
                <c:pt idx="8">
                  <c:v>-435.78019035142188</c:v>
                </c:pt>
                <c:pt idx="9">
                  <c:v>-508.60367858702392</c:v>
                </c:pt>
                <c:pt idx="10">
                  <c:v>-581.46778301235872</c:v>
                </c:pt>
                <c:pt idx="11">
                  <c:v>-654.36197180774661</c:v>
                </c:pt>
                <c:pt idx="12">
                  <c:v>-690.81625043285965</c:v>
                </c:pt>
                <c:pt idx="13">
                  <c:v>-726.54359016010994</c:v>
                </c:pt>
                <c:pt idx="14">
                  <c:v>-727.27272727272759</c:v>
                </c:pt>
                <c:pt idx="15">
                  <c:v>-727.27272727272759</c:v>
                </c:pt>
                <c:pt idx="16">
                  <c:v>-727.27272727272759</c:v>
                </c:pt>
                <c:pt idx="17">
                  <c:v>-727.27272727272759</c:v>
                </c:pt>
                <c:pt idx="18">
                  <c:v>-727.27272727272759</c:v>
                </c:pt>
                <c:pt idx="19">
                  <c:v>-727.27272727272759</c:v>
                </c:pt>
                <c:pt idx="20">
                  <c:v>-727.27272727272759</c:v>
                </c:pt>
                <c:pt idx="21">
                  <c:v>-727.27272727272759</c:v>
                </c:pt>
                <c:pt idx="22">
                  <c:v>-727.27272727272759</c:v>
                </c:pt>
                <c:pt idx="23">
                  <c:v>-727.27272727272759</c:v>
                </c:pt>
                <c:pt idx="24">
                  <c:v>-727.27272727272759</c:v>
                </c:pt>
                <c:pt idx="25">
                  <c:v>-727.27272727272759</c:v>
                </c:pt>
                <c:pt idx="26">
                  <c:v>-727.27272727272759</c:v>
                </c:pt>
                <c:pt idx="27">
                  <c:v>-727.27272727272759</c:v>
                </c:pt>
                <c:pt idx="28">
                  <c:v>-727.27272727272759</c:v>
                </c:pt>
                <c:pt idx="29">
                  <c:v>-727.27272727272759</c:v>
                </c:pt>
                <c:pt idx="30">
                  <c:v>-727.27272727272759</c:v>
                </c:pt>
                <c:pt idx="31">
                  <c:v>-727.27272727272759</c:v>
                </c:pt>
                <c:pt idx="32">
                  <c:v>-727.27272727272759</c:v>
                </c:pt>
                <c:pt idx="33">
                  <c:v>-727.27272727272759</c:v>
                </c:pt>
                <c:pt idx="34">
                  <c:v>-727.27272727272759</c:v>
                </c:pt>
                <c:pt idx="35">
                  <c:v>-727.27272727272759</c:v>
                </c:pt>
                <c:pt idx="36">
                  <c:v>-727.27272727272759</c:v>
                </c:pt>
                <c:pt idx="37">
                  <c:v>-727.27272727272759</c:v>
                </c:pt>
                <c:pt idx="38">
                  <c:v>-727.27272727272759</c:v>
                </c:pt>
                <c:pt idx="39">
                  <c:v>-727.27272727272759</c:v>
                </c:pt>
                <c:pt idx="40">
                  <c:v>-727.27272727272759</c:v>
                </c:pt>
                <c:pt idx="41">
                  <c:v>-727.27272727272759</c:v>
                </c:pt>
                <c:pt idx="42">
                  <c:v>-727.27272727272759</c:v>
                </c:pt>
                <c:pt idx="43">
                  <c:v>-727.27272727272759</c:v>
                </c:pt>
                <c:pt idx="44">
                  <c:v>-727.27272727272759</c:v>
                </c:pt>
                <c:pt idx="45">
                  <c:v>-727.27272727272759</c:v>
                </c:pt>
                <c:pt idx="46">
                  <c:v>-727.27272727272759</c:v>
                </c:pt>
                <c:pt idx="47">
                  <c:v>-727.27272727272759</c:v>
                </c:pt>
                <c:pt idx="48">
                  <c:v>-727.27272727272759</c:v>
                </c:pt>
                <c:pt idx="49">
                  <c:v>-727.27272727272759</c:v>
                </c:pt>
                <c:pt idx="50">
                  <c:v>-727.27272727272759</c:v>
                </c:pt>
                <c:pt idx="51">
                  <c:v>-727.27272727272759</c:v>
                </c:pt>
                <c:pt idx="52">
                  <c:v>-727.27272727272759</c:v>
                </c:pt>
                <c:pt idx="53">
                  <c:v>-727.27272727272759</c:v>
                </c:pt>
                <c:pt idx="54">
                  <c:v>-727.27272727272759</c:v>
                </c:pt>
                <c:pt idx="55">
                  <c:v>-727.27272727272759</c:v>
                </c:pt>
                <c:pt idx="56">
                  <c:v>-727.27272727272759</c:v>
                </c:pt>
                <c:pt idx="57">
                  <c:v>-727.27272727272759</c:v>
                </c:pt>
                <c:pt idx="58">
                  <c:v>-727.27272727272759</c:v>
                </c:pt>
                <c:pt idx="59">
                  <c:v>-727.27272727272759</c:v>
                </c:pt>
                <c:pt idx="60">
                  <c:v>-727.27272727272759</c:v>
                </c:pt>
                <c:pt idx="61">
                  <c:v>-727.27272727272759</c:v>
                </c:pt>
                <c:pt idx="62">
                  <c:v>-727.27272727272759</c:v>
                </c:pt>
                <c:pt idx="63">
                  <c:v>-727.27272727272759</c:v>
                </c:pt>
                <c:pt idx="64">
                  <c:v>-727.27272727272759</c:v>
                </c:pt>
                <c:pt idx="65">
                  <c:v>-727.27272727272759</c:v>
                </c:pt>
                <c:pt idx="66">
                  <c:v>-727.27272727272759</c:v>
                </c:pt>
                <c:pt idx="67">
                  <c:v>-727.27272727272759</c:v>
                </c:pt>
                <c:pt idx="68">
                  <c:v>-727.27272727272759</c:v>
                </c:pt>
                <c:pt idx="69">
                  <c:v>-727.27272727272759</c:v>
                </c:pt>
                <c:pt idx="70">
                  <c:v>-727.27272727272759</c:v>
                </c:pt>
                <c:pt idx="71">
                  <c:v>-727.27272727272759</c:v>
                </c:pt>
                <c:pt idx="72">
                  <c:v>-727.27272727272759</c:v>
                </c:pt>
                <c:pt idx="73">
                  <c:v>-727.27272727272759</c:v>
                </c:pt>
                <c:pt idx="74">
                  <c:v>-727.27272727272759</c:v>
                </c:pt>
                <c:pt idx="75">
                  <c:v>-727.27272727272759</c:v>
                </c:pt>
                <c:pt idx="76">
                  <c:v>-727.27272727272759</c:v>
                </c:pt>
                <c:pt idx="77">
                  <c:v>-727.27272727272759</c:v>
                </c:pt>
                <c:pt idx="78">
                  <c:v>-727.27272727272759</c:v>
                </c:pt>
                <c:pt idx="79">
                  <c:v>-727.27272727272759</c:v>
                </c:pt>
                <c:pt idx="80">
                  <c:v>-727.27272727272759</c:v>
                </c:pt>
                <c:pt idx="81">
                  <c:v>-727.27272727272759</c:v>
                </c:pt>
                <c:pt idx="82">
                  <c:v>-727.27272727272759</c:v>
                </c:pt>
                <c:pt idx="83">
                  <c:v>-727.27272727272759</c:v>
                </c:pt>
                <c:pt idx="84">
                  <c:v>-727.27272727272759</c:v>
                </c:pt>
                <c:pt idx="85">
                  <c:v>-727.27272727272759</c:v>
                </c:pt>
                <c:pt idx="86">
                  <c:v>-727.27272727272759</c:v>
                </c:pt>
                <c:pt idx="87">
                  <c:v>-727.27272727272759</c:v>
                </c:pt>
                <c:pt idx="88">
                  <c:v>-727.27272727272759</c:v>
                </c:pt>
                <c:pt idx="89">
                  <c:v>-727.27272727272759</c:v>
                </c:pt>
                <c:pt idx="90">
                  <c:v>-727.27272727272759</c:v>
                </c:pt>
                <c:pt idx="91">
                  <c:v>-727.27272727272759</c:v>
                </c:pt>
                <c:pt idx="92">
                  <c:v>-727.27272727272759</c:v>
                </c:pt>
                <c:pt idx="93">
                  <c:v>-727.27272727272759</c:v>
                </c:pt>
                <c:pt idx="94">
                  <c:v>-727.27272727272759</c:v>
                </c:pt>
                <c:pt idx="95">
                  <c:v>-727.27272727272759</c:v>
                </c:pt>
                <c:pt idx="96">
                  <c:v>-727.27272727272759</c:v>
                </c:pt>
                <c:pt idx="97">
                  <c:v>-727.27272727272759</c:v>
                </c:pt>
                <c:pt idx="98">
                  <c:v>-727.27272727272759</c:v>
                </c:pt>
                <c:pt idx="99">
                  <c:v>726.54359016010994</c:v>
                </c:pt>
                <c:pt idx="100">
                  <c:v>690.81625043285931</c:v>
                </c:pt>
                <c:pt idx="101">
                  <c:v>654.36197180774627</c:v>
                </c:pt>
                <c:pt idx="102">
                  <c:v>581.46778301235861</c:v>
                </c:pt>
                <c:pt idx="103">
                  <c:v>508.60367858702392</c:v>
                </c:pt>
                <c:pt idx="104">
                  <c:v>435.78019035142165</c:v>
                </c:pt>
                <c:pt idx="105">
                  <c:v>363.00523839486431</c:v>
                </c:pt>
                <c:pt idx="106">
                  <c:v>290.28450502038123</c:v>
                </c:pt>
                <c:pt idx="107">
                  <c:v>217.62180844148372</c:v>
                </c:pt>
                <c:pt idx="108">
                  <c:v>145.01947620210984</c:v>
                </c:pt>
                <c:pt idx="109">
                  <c:v>72.478718299823484</c:v>
                </c:pt>
                <c:pt idx="110">
                  <c:v>36.231594023936765</c:v>
                </c:pt>
                <c:pt idx="111">
                  <c:v>0.72447965746038456</c:v>
                </c:pt>
                <c:pt idx="112">
                  <c:v>7.5812655908850312E-14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6313600"/>
        <c:axId val="426315136"/>
      </c:scatterChart>
      <c:valAx>
        <c:axId val="426313600"/>
        <c:scaling>
          <c:orientation val="minMax"/>
          <c:min val="0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426315136"/>
        <c:crosses val="autoZero"/>
        <c:crossBetween val="midCat"/>
      </c:valAx>
      <c:valAx>
        <c:axId val="426315136"/>
        <c:scaling>
          <c:orientation val="minMax"/>
        </c:scaling>
        <c:delete val="0"/>
        <c:axPos val="l"/>
        <c:majorGridlines/>
        <c:numFmt formatCode="0" sourceLinked="1"/>
        <c:majorTickMark val="out"/>
        <c:minorTickMark val="none"/>
        <c:tickLblPos val="nextTo"/>
        <c:crossAx val="42631360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CH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200"/>
          </a:pPr>
          <a:endParaRPr lang="de-DE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Vorlage!$M$2:$M$3</c:f>
              <c:strCache>
                <c:ptCount val="1"/>
                <c:pt idx="0">
                  <c:v>Sohlpressung q (kPa)</c:v>
                </c:pt>
              </c:strCache>
            </c:strRef>
          </c:tx>
          <c:marker>
            <c:symbol val="none"/>
          </c:marker>
          <c:xVal>
            <c:numRef>
              <c:f>Vorlage!$J$4:$J$760</c:f>
              <c:numCache>
                <c:formatCode>General</c:formatCode>
                <c:ptCount val="757"/>
                <c:pt idx="0">
                  <c:v>0</c:v>
                </c:pt>
                <c:pt idx="1">
                  <c:v>2.7500000000000003E-3</c:v>
                </c:pt>
                <c:pt idx="2">
                  <c:v>0.13750000000000001</c:v>
                </c:pt>
                <c:pt idx="3">
                  <c:v>0.27500000000000002</c:v>
                </c:pt>
                <c:pt idx="4">
                  <c:v>0.55000000000000004</c:v>
                </c:pt>
                <c:pt idx="5">
                  <c:v>0.82500000000000007</c:v>
                </c:pt>
                <c:pt idx="6">
                  <c:v>1.1000000000000001</c:v>
                </c:pt>
                <c:pt idx="7">
                  <c:v>1.375</c:v>
                </c:pt>
                <c:pt idx="8">
                  <c:v>1.6500000000000001</c:v>
                </c:pt>
                <c:pt idx="9">
                  <c:v>1.9250000000000003</c:v>
                </c:pt>
                <c:pt idx="10">
                  <c:v>2.2000000000000002</c:v>
                </c:pt>
                <c:pt idx="11">
                  <c:v>2.4750000000000001</c:v>
                </c:pt>
                <c:pt idx="12">
                  <c:v>2.6125000000000003</c:v>
                </c:pt>
                <c:pt idx="13">
                  <c:v>2.7472500000000002</c:v>
                </c:pt>
                <c:pt idx="14">
                  <c:v>2.75</c:v>
                </c:pt>
                <c:pt idx="15">
                  <c:v>2.75</c:v>
                </c:pt>
                <c:pt idx="16">
                  <c:v>2.75</c:v>
                </c:pt>
                <c:pt idx="17">
                  <c:v>2.75</c:v>
                </c:pt>
                <c:pt idx="18">
                  <c:v>2.75</c:v>
                </c:pt>
                <c:pt idx="19">
                  <c:v>2.75</c:v>
                </c:pt>
                <c:pt idx="20">
                  <c:v>2.75</c:v>
                </c:pt>
                <c:pt idx="21">
                  <c:v>2.75</c:v>
                </c:pt>
                <c:pt idx="22">
                  <c:v>2.75</c:v>
                </c:pt>
                <c:pt idx="23">
                  <c:v>2.75</c:v>
                </c:pt>
                <c:pt idx="24">
                  <c:v>2.75</c:v>
                </c:pt>
                <c:pt idx="25">
                  <c:v>2.75</c:v>
                </c:pt>
                <c:pt idx="26">
                  <c:v>2.75</c:v>
                </c:pt>
                <c:pt idx="27">
                  <c:v>2.75</c:v>
                </c:pt>
                <c:pt idx="28">
                  <c:v>2.75</c:v>
                </c:pt>
                <c:pt idx="29">
                  <c:v>2.75</c:v>
                </c:pt>
                <c:pt idx="30">
                  <c:v>2.75</c:v>
                </c:pt>
                <c:pt idx="31">
                  <c:v>2.75</c:v>
                </c:pt>
                <c:pt idx="32">
                  <c:v>2.75</c:v>
                </c:pt>
                <c:pt idx="33">
                  <c:v>2.75</c:v>
                </c:pt>
                <c:pt idx="34">
                  <c:v>2.75</c:v>
                </c:pt>
                <c:pt idx="35">
                  <c:v>2.75</c:v>
                </c:pt>
                <c:pt idx="36">
                  <c:v>2.75</c:v>
                </c:pt>
                <c:pt idx="37">
                  <c:v>2.75</c:v>
                </c:pt>
                <c:pt idx="38">
                  <c:v>2.75</c:v>
                </c:pt>
                <c:pt idx="39">
                  <c:v>2.75</c:v>
                </c:pt>
                <c:pt idx="40">
                  <c:v>2.75</c:v>
                </c:pt>
                <c:pt idx="41">
                  <c:v>2.75</c:v>
                </c:pt>
                <c:pt idx="42">
                  <c:v>2.75</c:v>
                </c:pt>
                <c:pt idx="43">
                  <c:v>2.75</c:v>
                </c:pt>
                <c:pt idx="44">
                  <c:v>2.75</c:v>
                </c:pt>
                <c:pt idx="45">
                  <c:v>2.75</c:v>
                </c:pt>
                <c:pt idx="46">
                  <c:v>2.75</c:v>
                </c:pt>
                <c:pt idx="47">
                  <c:v>2.75</c:v>
                </c:pt>
                <c:pt idx="48">
                  <c:v>2.75</c:v>
                </c:pt>
                <c:pt idx="49">
                  <c:v>2.75</c:v>
                </c:pt>
                <c:pt idx="50">
                  <c:v>2.75</c:v>
                </c:pt>
                <c:pt idx="51">
                  <c:v>2.75</c:v>
                </c:pt>
                <c:pt idx="52">
                  <c:v>2.75</c:v>
                </c:pt>
                <c:pt idx="53">
                  <c:v>2.75</c:v>
                </c:pt>
                <c:pt idx="54">
                  <c:v>2.75</c:v>
                </c:pt>
                <c:pt idx="55">
                  <c:v>2.75</c:v>
                </c:pt>
                <c:pt idx="56">
                  <c:v>2.75</c:v>
                </c:pt>
                <c:pt idx="57">
                  <c:v>2.75</c:v>
                </c:pt>
                <c:pt idx="58">
                  <c:v>2.75</c:v>
                </c:pt>
                <c:pt idx="59">
                  <c:v>2.75</c:v>
                </c:pt>
                <c:pt idx="60">
                  <c:v>2.75</c:v>
                </c:pt>
                <c:pt idx="61">
                  <c:v>2.75</c:v>
                </c:pt>
                <c:pt idx="62">
                  <c:v>2.75</c:v>
                </c:pt>
                <c:pt idx="63">
                  <c:v>2.75</c:v>
                </c:pt>
                <c:pt idx="64">
                  <c:v>2.75</c:v>
                </c:pt>
                <c:pt idx="65">
                  <c:v>2.75</c:v>
                </c:pt>
                <c:pt idx="66">
                  <c:v>2.75</c:v>
                </c:pt>
                <c:pt idx="67">
                  <c:v>2.75</c:v>
                </c:pt>
                <c:pt idx="68">
                  <c:v>2.75</c:v>
                </c:pt>
                <c:pt idx="69">
                  <c:v>2.75</c:v>
                </c:pt>
                <c:pt idx="70">
                  <c:v>2.75</c:v>
                </c:pt>
                <c:pt idx="71">
                  <c:v>2.75</c:v>
                </c:pt>
                <c:pt idx="72">
                  <c:v>2.75</c:v>
                </c:pt>
                <c:pt idx="73">
                  <c:v>2.75</c:v>
                </c:pt>
                <c:pt idx="74">
                  <c:v>2.75</c:v>
                </c:pt>
                <c:pt idx="75">
                  <c:v>2.75</c:v>
                </c:pt>
                <c:pt idx="76">
                  <c:v>2.75</c:v>
                </c:pt>
                <c:pt idx="77">
                  <c:v>2.75</c:v>
                </c:pt>
                <c:pt idx="78">
                  <c:v>2.75</c:v>
                </c:pt>
                <c:pt idx="79">
                  <c:v>2.75</c:v>
                </c:pt>
                <c:pt idx="80">
                  <c:v>2.75</c:v>
                </c:pt>
                <c:pt idx="81">
                  <c:v>2.75</c:v>
                </c:pt>
                <c:pt idx="82">
                  <c:v>2.75</c:v>
                </c:pt>
                <c:pt idx="83">
                  <c:v>2.75</c:v>
                </c:pt>
                <c:pt idx="84">
                  <c:v>2.75</c:v>
                </c:pt>
                <c:pt idx="85">
                  <c:v>2.75</c:v>
                </c:pt>
                <c:pt idx="86">
                  <c:v>2.75</c:v>
                </c:pt>
                <c:pt idx="87">
                  <c:v>2.75</c:v>
                </c:pt>
                <c:pt idx="88">
                  <c:v>2.75</c:v>
                </c:pt>
                <c:pt idx="89">
                  <c:v>2.75</c:v>
                </c:pt>
                <c:pt idx="90">
                  <c:v>2.75</c:v>
                </c:pt>
                <c:pt idx="91">
                  <c:v>2.75</c:v>
                </c:pt>
                <c:pt idx="92">
                  <c:v>2.75</c:v>
                </c:pt>
                <c:pt idx="93">
                  <c:v>2.75</c:v>
                </c:pt>
                <c:pt idx="94">
                  <c:v>2.75</c:v>
                </c:pt>
                <c:pt idx="95">
                  <c:v>2.75</c:v>
                </c:pt>
                <c:pt idx="96">
                  <c:v>2.75</c:v>
                </c:pt>
                <c:pt idx="97">
                  <c:v>2.75</c:v>
                </c:pt>
                <c:pt idx="98">
                  <c:v>2.75</c:v>
                </c:pt>
                <c:pt idx="99">
                  <c:v>2.7527499999999998</c:v>
                </c:pt>
                <c:pt idx="100">
                  <c:v>2.8875000000000002</c:v>
                </c:pt>
                <c:pt idx="101">
                  <c:v>3.0249999999999999</c:v>
                </c:pt>
                <c:pt idx="102">
                  <c:v>3.3</c:v>
                </c:pt>
                <c:pt idx="103">
                  <c:v>3.5750000000000002</c:v>
                </c:pt>
                <c:pt idx="104">
                  <c:v>3.85</c:v>
                </c:pt>
                <c:pt idx="105">
                  <c:v>4.125</c:v>
                </c:pt>
                <c:pt idx="106">
                  <c:v>4.4000000000000004</c:v>
                </c:pt>
                <c:pt idx="107">
                  <c:v>4.6750000000000007</c:v>
                </c:pt>
                <c:pt idx="108">
                  <c:v>4.95</c:v>
                </c:pt>
                <c:pt idx="109">
                  <c:v>5.2249999999999996</c:v>
                </c:pt>
                <c:pt idx="110">
                  <c:v>5.3625000000000007</c:v>
                </c:pt>
                <c:pt idx="111">
                  <c:v>5.4972500000000002</c:v>
                </c:pt>
                <c:pt idx="112">
                  <c:v>5.5</c:v>
                </c:pt>
              </c:numCache>
            </c:numRef>
          </c:xVal>
          <c:yVal>
            <c:numRef>
              <c:f>Vorlage!$M$4:$M$760</c:f>
              <c:numCache>
                <c:formatCode>0</c:formatCode>
                <c:ptCount val="757"/>
                <c:pt idx="0">
                  <c:v>-263.44601848311186</c:v>
                </c:pt>
                <c:pt idx="1">
                  <c:v>-263.44827785166297</c:v>
                </c:pt>
                <c:pt idx="2">
                  <c:v>-263.55898338746704</c:v>
                </c:pt>
                <c:pt idx="3">
                  <c:v>-263.67189896179974</c:v>
                </c:pt>
                <c:pt idx="4">
                  <c:v>-263.89699001514532</c:v>
                </c:pt>
                <c:pt idx="5">
                  <c:v>-264.11926098875307</c:v>
                </c:pt>
                <c:pt idx="6">
                  <c:v>-264.33532611144199</c:v>
                </c:pt>
                <c:pt idx="7">
                  <c:v>-264.54044335677577</c:v>
                </c:pt>
                <c:pt idx="8">
                  <c:v>-264.72851333762014</c:v>
                </c:pt>
                <c:pt idx="9">
                  <c:v>-264.8920782580791</c:v>
                </c:pt>
                <c:pt idx="10">
                  <c:v>-265.02232095413297</c:v>
                </c:pt>
                <c:pt idx="11">
                  <c:v>-265.1090640612731</c:v>
                </c:pt>
                <c:pt idx="12">
                  <c:v>-265.13257074597237</c:v>
                </c:pt>
                <c:pt idx="13">
                  <c:v>-265.14076596548091</c:v>
                </c:pt>
                <c:pt idx="14">
                  <c:v>-265.14076935441199</c:v>
                </c:pt>
                <c:pt idx="15">
                  <c:v>-265.14076935441199</c:v>
                </c:pt>
                <c:pt idx="16">
                  <c:v>-265.14076935441199</c:v>
                </c:pt>
                <c:pt idx="17">
                  <c:v>-265.14076935441199</c:v>
                </c:pt>
                <c:pt idx="18">
                  <c:v>-265.14076935441199</c:v>
                </c:pt>
                <c:pt idx="19">
                  <c:v>-265.14076935441199</c:v>
                </c:pt>
                <c:pt idx="20">
                  <c:v>-265.14076935441199</c:v>
                </c:pt>
                <c:pt idx="21">
                  <c:v>-265.14076935441199</c:v>
                </c:pt>
                <c:pt idx="22">
                  <c:v>-265.14076935441199</c:v>
                </c:pt>
                <c:pt idx="23">
                  <c:v>-265.14076935441199</c:v>
                </c:pt>
                <c:pt idx="24">
                  <c:v>-265.14076935441199</c:v>
                </c:pt>
                <c:pt idx="25">
                  <c:v>-265.14076935441199</c:v>
                </c:pt>
                <c:pt idx="26">
                  <c:v>-265.14076935441199</c:v>
                </c:pt>
                <c:pt idx="27">
                  <c:v>-265.14076935441199</c:v>
                </c:pt>
                <c:pt idx="28">
                  <c:v>-265.14076935441199</c:v>
                </c:pt>
                <c:pt idx="29">
                  <c:v>-265.14076935441199</c:v>
                </c:pt>
                <c:pt idx="30">
                  <c:v>-265.14076935441199</c:v>
                </c:pt>
                <c:pt idx="31">
                  <c:v>-265.14076935441199</c:v>
                </c:pt>
                <c:pt idx="32">
                  <c:v>-265.14076935441199</c:v>
                </c:pt>
                <c:pt idx="33">
                  <c:v>-265.14076935441199</c:v>
                </c:pt>
                <c:pt idx="34">
                  <c:v>-265.14076935441199</c:v>
                </c:pt>
                <c:pt idx="35">
                  <c:v>-265.14076935441199</c:v>
                </c:pt>
                <c:pt idx="36">
                  <c:v>-265.14076935441199</c:v>
                </c:pt>
                <c:pt idx="37">
                  <c:v>-265.14076935441199</c:v>
                </c:pt>
                <c:pt idx="38">
                  <c:v>-265.14076935441199</c:v>
                </c:pt>
                <c:pt idx="39">
                  <c:v>-265.14076935441199</c:v>
                </c:pt>
                <c:pt idx="40">
                  <c:v>-265.14076935441199</c:v>
                </c:pt>
                <c:pt idx="41">
                  <c:v>-265.14076935441199</c:v>
                </c:pt>
                <c:pt idx="42">
                  <c:v>-265.14076935441199</c:v>
                </c:pt>
                <c:pt idx="43">
                  <c:v>-265.14076935441199</c:v>
                </c:pt>
                <c:pt idx="44">
                  <c:v>-265.14076935441199</c:v>
                </c:pt>
                <c:pt idx="45">
                  <c:v>-265.14076935441199</c:v>
                </c:pt>
                <c:pt idx="46">
                  <c:v>-265.14076935441199</c:v>
                </c:pt>
                <c:pt idx="47">
                  <c:v>-265.14076935441199</c:v>
                </c:pt>
                <c:pt idx="48">
                  <c:v>-265.14076935441199</c:v>
                </c:pt>
                <c:pt idx="49">
                  <c:v>-265.14076935441199</c:v>
                </c:pt>
                <c:pt idx="50">
                  <c:v>-265.14076935441199</c:v>
                </c:pt>
                <c:pt idx="51">
                  <c:v>-265.14076935441199</c:v>
                </c:pt>
                <c:pt idx="52">
                  <c:v>-265.14076935441199</c:v>
                </c:pt>
                <c:pt idx="53">
                  <c:v>-265.14076935441199</c:v>
                </c:pt>
                <c:pt idx="54">
                  <c:v>-265.14076935441199</c:v>
                </c:pt>
                <c:pt idx="55">
                  <c:v>-265.14076935441199</c:v>
                </c:pt>
                <c:pt idx="56">
                  <c:v>-265.14076935441199</c:v>
                </c:pt>
                <c:pt idx="57">
                  <c:v>-265.14076935441199</c:v>
                </c:pt>
                <c:pt idx="58">
                  <c:v>-265.14076935441199</c:v>
                </c:pt>
                <c:pt idx="59">
                  <c:v>-265.14076935441199</c:v>
                </c:pt>
                <c:pt idx="60">
                  <c:v>-265.14076935441199</c:v>
                </c:pt>
                <c:pt idx="61">
                  <c:v>-265.14076935441199</c:v>
                </c:pt>
                <c:pt idx="62">
                  <c:v>-265.14076935441199</c:v>
                </c:pt>
                <c:pt idx="63">
                  <c:v>-265.14076935441199</c:v>
                </c:pt>
                <c:pt idx="64">
                  <c:v>-265.14076935441199</c:v>
                </c:pt>
                <c:pt idx="65">
                  <c:v>-265.14076935441199</c:v>
                </c:pt>
                <c:pt idx="66">
                  <c:v>-265.14076935441199</c:v>
                </c:pt>
                <c:pt idx="67">
                  <c:v>-265.14076935441199</c:v>
                </c:pt>
                <c:pt idx="68">
                  <c:v>-265.14076935441199</c:v>
                </c:pt>
                <c:pt idx="69">
                  <c:v>-265.14076935441199</c:v>
                </c:pt>
                <c:pt idx="70">
                  <c:v>-265.14076935441199</c:v>
                </c:pt>
                <c:pt idx="71">
                  <c:v>-265.14076935441199</c:v>
                </c:pt>
                <c:pt idx="72">
                  <c:v>-265.14076935441199</c:v>
                </c:pt>
                <c:pt idx="73">
                  <c:v>-265.14076935441199</c:v>
                </c:pt>
                <c:pt idx="74">
                  <c:v>-265.14076935441199</c:v>
                </c:pt>
                <c:pt idx="75">
                  <c:v>-265.14076935441199</c:v>
                </c:pt>
                <c:pt idx="76">
                  <c:v>-265.14076935441199</c:v>
                </c:pt>
                <c:pt idx="77">
                  <c:v>-265.14076935441199</c:v>
                </c:pt>
                <c:pt idx="78">
                  <c:v>-265.14076935441199</c:v>
                </c:pt>
                <c:pt idx="79">
                  <c:v>-265.14076935441199</c:v>
                </c:pt>
                <c:pt idx="80">
                  <c:v>-265.14076935441199</c:v>
                </c:pt>
                <c:pt idx="81">
                  <c:v>-265.14076935441199</c:v>
                </c:pt>
                <c:pt idx="82">
                  <c:v>-265.14076935441199</c:v>
                </c:pt>
                <c:pt idx="83">
                  <c:v>-265.14076935441199</c:v>
                </c:pt>
                <c:pt idx="84">
                  <c:v>-265.14076935441199</c:v>
                </c:pt>
                <c:pt idx="85">
                  <c:v>-265.14076935441199</c:v>
                </c:pt>
                <c:pt idx="86">
                  <c:v>-265.14076935441199</c:v>
                </c:pt>
                <c:pt idx="87">
                  <c:v>-265.14076935441199</c:v>
                </c:pt>
                <c:pt idx="88">
                  <c:v>-265.14076935441199</c:v>
                </c:pt>
                <c:pt idx="89">
                  <c:v>-265.14076935441199</c:v>
                </c:pt>
                <c:pt idx="90">
                  <c:v>-265.14076935441199</c:v>
                </c:pt>
                <c:pt idx="91">
                  <c:v>-265.14076935441199</c:v>
                </c:pt>
                <c:pt idx="92">
                  <c:v>-265.14076935441199</c:v>
                </c:pt>
                <c:pt idx="93">
                  <c:v>-265.14076935441199</c:v>
                </c:pt>
                <c:pt idx="94">
                  <c:v>-265.14076935441199</c:v>
                </c:pt>
                <c:pt idx="95">
                  <c:v>-265.14076935441199</c:v>
                </c:pt>
                <c:pt idx="96">
                  <c:v>-265.14076935441199</c:v>
                </c:pt>
                <c:pt idx="97">
                  <c:v>-265.14076935441199</c:v>
                </c:pt>
                <c:pt idx="98">
                  <c:v>-265.14076935441199</c:v>
                </c:pt>
                <c:pt idx="99">
                  <c:v>-265.14076596548091</c:v>
                </c:pt>
                <c:pt idx="100">
                  <c:v>-265.13257074597237</c:v>
                </c:pt>
                <c:pt idx="101">
                  <c:v>-265.1090640612731</c:v>
                </c:pt>
                <c:pt idx="102">
                  <c:v>-265.02232095413291</c:v>
                </c:pt>
                <c:pt idx="103">
                  <c:v>-264.8920782580791</c:v>
                </c:pt>
                <c:pt idx="104">
                  <c:v>-264.72851333762014</c:v>
                </c:pt>
                <c:pt idx="105">
                  <c:v>-264.54044335677577</c:v>
                </c:pt>
                <c:pt idx="106">
                  <c:v>-264.33532611144193</c:v>
                </c:pt>
                <c:pt idx="107">
                  <c:v>-264.11926098875301</c:v>
                </c:pt>
                <c:pt idx="108">
                  <c:v>-263.89699001514538</c:v>
                </c:pt>
                <c:pt idx="109">
                  <c:v>-263.67189896179963</c:v>
                </c:pt>
                <c:pt idx="110">
                  <c:v>-263.55898338746692</c:v>
                </c:pt>
                <c:pt idx="111">
                  <c:v>-263.44827785166291</c:v>
                </c:pt>
                <c:pt idx="112">
                  <c:v>-263.4460184831118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6355712"/>
        <c:axId val="426369792"/>
      </c:scatterChart>
      <c:valAx>
        <c:axId val="426355712"/>
        <c:scaling>
          <c:orientation val="minMax"/>
          <c:min val="0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426369792"/>
        <c:crosses val="autoZero"/>
        <c:crossBetween val="midCat"/>
      </c:valAx>
      <c:valAx>
        <c:axId val="426369792"/>
        <c:scaling>
          <c:orientation val="minMax"/>
        </c:scaling>
        <c:delete val="0"/>
        <c:axPos val="l"/>
        <c:majorGridlines/>
        <c:numFmt formatCode="0" sourceLinked="1"/>
        <c:majorTickMark val="out"/>
        <c:minorTickMark val="none"/>
        <c:tickLblPos val="nextTo"/>
        <c:crossAx val="426355712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CH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200"/>
          </a:pPr>
          <a:endParaRPr lang="de-DE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Vorlage!$L$2:$L$3</c:f>
              <c:strCache>
                <c:ptCount val="1"/>
                <c:pt idx="0">
                  <c:v>Setzung y (mm)</c:v>
                </c:pt>
              </c:strCache>
            </c:strRef>
          </c:tx>
          <c:marker>
            <c:symbol val="none"/>
          </c:marker>
          <c:xVal>
            <c:numRef>
              <c:f>Vorlage!$J$4:$J$760</c:f>
              <c:numCache>
                <c:formatCode>General</c:formatCode>
                <c:ptCount val="757"/>
                <c:pt idx="0">
                  <c:v>0</c:v>
                </c:pt>
                <c:pt idx="1">
                  <c:v>2.7500000000000003E-3</c:v>
                </c:pt>
                <c:pt idx="2">
                  <c:v>0.13750000000000001</c:v>
                </c:pt>
                <c:pt idx="3">
                  <c:v>0.27500000000000002</c:v>
                </c:pt>
                <c:pt idx="4">
                  <c:v>0.55000000000000004</c:v>
                </c:pt>
                <c:pt idx="5">
                  <c:v>0.82500000000000007</c:v>
                </c:pt>
                <c:pt idx="6">
                  <c:v>1.1000000000000001</c:v>
                </c:pt>
                <c:pt idx="7">
                  <c:v>1.375</c:v>
                </c:pt>
                <c:pt idx="8">
                  <c:v>1.6500000000000001</c:v>
                </c:pt>
                <c:pt idx="9">
                  <c:v>1.9250000000000003</c:v>
                </c:pt>
                <c:pt idx="10">
                  <c:v>2.2000000000000002</c:v>
                </c:pt>
                <c:pt idx="11">
                  <c:v>2.4750000000000001</c:v>
                </c:pt>
                <c:pt idx="12">
                  <c:v>2.6125000000000003</c:v>
                </c:pt>
                <c:pt idx="13">
                  <c:v>2.7472500000000002</c:v>
                </c:pt>
                <c:pt idx="14">
                  <c:v>2.75</c:v>
                </c:pt>
                <c:pt idx="15">
                  <c:v>2.75</c:v>
                </c:pt>
                <c:pt idx="16">
                  <c:v>2.75</c:v>
                </c:pt>
                <c:pt idx="17">
                  <c:v>2.75</c:v>
                </c:pt>
                <c:pt idx="18">
                  <c:v>2.75</c:v>
                </c:pt>
                <c:pt idx="19">
                  <c:v>2.75</c:v>
                </c:pt>
                <c:pt idx="20">
                  <c:v>2.75</c:v>
                </c:pt>
                <c:pt idx="21">
                  <c:v>2.75</c:v>
                </c:pt>
                <c:pt idx="22">
                  <c:v>2.75</c:v>
                </c:pt>
                <c:pt idx="23">
                  <c:v>2.75</c:v>
                </c:pt>
                <c:pt idx="24">
                  <c:v>2.75</c:v>
                </c:pt>
                <c:pt idx="25">
                  <c:v>2.75</c:v>
                </c:pt>
                <c:pt idx="26">
                  <c:v>2.75</c:v>
                </c:pt>
                <c:pt idx="27">
                  <c:v>2.75</c:v>
                </c:pt>
                <c:pt idx="28">
                  <c:v>2.75</c:v>
                </c:pt>
                <c:pt idx="29">
                  <c:v>2.75</c:v>
                </c:pt>
                <c:pt idx="30">
                  <c:v>2.75</c:v>
                </c:pt>
                <c:pt idx="31">
                  <c:v>2.75</c:v>
                </c:pt>
                <c:pt idx="32">
                  <c:v>2.75</c:v>
                </c:pt>
                <c:pt idx="33">
                  <c:v>2.75</c:v>
                </c:pt>
                <c:pt idx="34">
                  <c:v>2.75</c:v>
                </c:pt>
                <c:pt idx="35">
                  <c:v>2.75</c:v>
                </c:pt>
                <c:pt idx="36">
                  <c:v>2.75</c:v>
                </c:pt>
                <c:pt idx="37">
                  <c:v>2.75</c:v>
                </c:pt>
                <c:pt idx="38">
                  <c:v>2.75</c:v>
                </c:pt>
                <c:pt idx="39">
                  <c:v>2.75</c:v>
                </c:pt>
                <c:pt idx="40">
                  <c:v>2.75</c:v>
                </c:pt>
                <c:pt idx="41">
                  <c:v>2.75</c:v>
                </c:pt>
                <c:pt idx="42">
                  <c:v>2.75</c:v>
                </c:pt>
                <c:pt idx="43">
                  <c:v>2.75</c:v>
                </c:pt>
                <c:pt idx="44">
                  <c:v>2.75</c:v>
                </c:pt>
                <c:pt idx="45">
                  <c:v>2.75</c:v>
                </c:pt>
                <c:pt idx="46">
                  <c:v>2.75</c:v>
                </c:pt>
                <c:pt idx="47">
                  <c:v>2.75</c:v>
                </c:pt>
                <c:pt idx="48">
                  <c:v>2.75</c:v>
                </c:pt>
                <c:pt idx="49">
                  <c:v>2.75</c:v>
                </c:pt>
                <c:pt idx="50">
                  <c:v>2.75</c:v>
                </c:pt>
                <c:pt idx="51">
                  <c:v>2.75</c:v>
                </c:pt>
                <c:pt idx="52">
                  <c:v>2.75</c:v>
                </c:pt>
                <c:pt idx="53">
                  <c:v>2.75</c:v>
                </c:pt>
                <c:pt idx="54">
                  <c:v>2.75</c:v>
                </c:pt>
                <c:pt idx="55">
                  <c:v>2.75</c:v>
                </c:pt>
                <c:pt idx="56">
                  <c:v>2.75</c:v>
                </c:pt>
                <c:pt idx="57">
                  <c:v>2.75</c:v>
                </c:pt>
                <c:pt idx="58">
                  <c:v>2.75</c:v>
                </c:pt>
                <c:pt idx="59">
                  <c:v>2.75</c:v>
                </c:pt>
                <c:pt idx="60">
                  <c:v>2.75</c:v>
                </c:pt>
                <c:pt idx="61">
                  <c:v>2.75</c:v>
                </c:pt>
                <c:pt idx="62">
                  <c:v>2.75</c:v>
                </c:pt>
                <c:pt idx="63">
                  <c:v>2.75</c:v>
                </c:pt>
                <c:pt idx="64">
                  <c:v>2.75</c:v>
                </c:pt>
                <c:pt idx="65">
                  <c:v>2.75</c:v>
                </c:pt>
                <c:pt idx="66">
                  <c:v>2.75</c:v>
                </c:pt>
                <c:pt idx="67">
                  <c:v>2.75</c:v>
                </c:pt>
                <c:pt idx="68">
                  <c:v>2.75</c:v>
                </c:pt>
                <c:pt idx="69">
                  <c:v>2.75</c:v>
                </c:pt>
                <c:pt idx="70">
                  <c:v>2.75</c:v>
                </c:pt>
                <c:pt idx="71">
                  <c:v>2.75</c:v>
                </c:pt>
                <c:pt idx="72">
                  <c:v>2.75</c:v>
                </c:pt>
                <c:pt idx="73">
                  <c:v>2.75</c:v>
                </c:pt>
                <c:pt idx="74">
                  <c:v>2.75</c:v>
                </c:pt>
                <c:pt idx="75">
                  <c:v>2.75</c:v>
                </c:pt>
                <c:pt idx="76">
                  <c:v>2.75</c:v>
                </c:pt>
                <c:pt idx="77">
                  <c:v>2.75</c:v>
                </c:pt>
                <c:pt idx="78">
                  <c:v>2.75</c:v>
                </c:pt>
                <c:pt idx="79">
                  <c:v>2.75</c:v>
                </c:pt>
                <c:pt idx="80">
                  <c:v>2.75</c:v>
                </c:pt>
                <c:pt idx="81">
                  <c:v>2.75</c:v>
                </c:pt>
                <c:pt idx="82">
                  <c:v>2.75</c:v>
                </c:pt>
                <c:pt idx="83">
                  <c:v>2.75</c:v>
                </c:pt>
                <c:pt idx="84">
                  <c:v>2.75</c:v>
                </c:pt>
                <c:pt idx="85">
                  <c:v>2.75</c:v>
                </c:pt>
                <c:pt idx="86">
                  <c:v>2.75</c:v>
                </c:pt>
                <c:pt idx="87">
                  <c:v>2.75</c:v>
                </c:pt>
                <c:pt idx="88">
                  <c:v>2.75</c:v>
                </c:pt>
                <c:pt idx="89">
                  <c:v>2.75</c:v>
                </c:pt>
                <c:pt idx="90">
                  <c:v>2.75</c:v>
                </c:pt>
                <c:pt idx="91">
                  <c:v>2.75</c:v>
                </c:pt>
                <c:pt idx="92">
                  <c:v>2.75</c:v>
                </c:pt>
                <c:pt idx="93">
                  <c:v>2.75</c:v>
                </c:pt>
                <c:pt idx="94">
                  <c:v>2.75</c:v>
                </c:pt>
                <c:pt idx="95">
                  <c:v>2.75</c:v>
                </c:pt>
                <c:pt idx="96">
                  <c:v>2.75</c:v>
                </c:pt>
                <c:pt idx="97">
                  <c:v>2.75</c:v>
                </c:pt>
                <c:pt idx="98">
                  <c:v>2.75</c:v>
                </c:pt>
                <c:pt idx="99">
                  <c:v>2.7527499999999998</c:v>
                </c:pt>
                <c:pt idx="100">
                  <c:v>2.8875000000000002</c:v>
                </c:pt>
                <c:pt idx="101">
                  <c:v>3.0249999999999999</c:v>
                </c:pt>
                <c:pt idx="102">
                  <c:v>3.3</c:v>
                </c:pt>
                <c:pt idx="103">
                  <c:v>3.5750000000000002</c:v>
                </c:pt>
                <c:pt idx="104">
                  <c:v>3.85</c:v>
                </c:pt>
                <c:pt idx="105">
                  <c:v>4.125</c:v>
                </c:pt>
                <c:pt idx="106">
                  <c:v>4.4000000000000004</c:v>
                </c:pt>
                <c:pt idx="107">
                  <c:v>4.6750000000000007</c:v>
                </c:pt>
                <c:pt idx="108">
                  <c:v>4.95</c:v>
                </c:pt>
                <c:pt idx="109">
                  <c:v>5.2249999999999996</c:v>
                </c:pt>
                <c:pt idx="110">
                  <c:v>5.3625000000000007</c:v>
                </c:pt>
                <c:pt idx="111">
                  <c:v>5.4972500000000002</c:v>
                </c:pt>
                <c:pt idx="112">
                  <c:v>5.5</c:v>
                </c:pt>
              </c:numCache>
            </c:numRef>
          </c:xVal>
          <c:yVal>
            <c:numRef>
              <c:f>Vorlage!$L$4:$L$760</c:f>
              <c:numCache>
                <c:formatCode>0.0</c:formatCode>
                <c:ptCount val="757"/>
                <c:pt idx="0">
                  <c:v>-86.93718609942691</c:v>
                </c:pt>
                <c:pt idx="1">
                  <c:v>-86.937931691048774</c:v>
                </c:pt>
                <c:pt idx="2">
                  <c:v>-86.974464517864121</c:v>
                </c:pt>
                <c:pt idx="3">
                  <c:v>-87.011726657393908</c:v>
                </c:pt>
                <c:pt idx="4">
                  <c:v>-87.086006704997956</c:v>
                </c:pt>
                <c:pt idx="5">
                  <c:v>-87.159356126288515</c:v>
                </c:pt>
                <c:pt idx="6">
                  <c:v>-87.230657616775858</c:v>
                </c:pt>
                <c:pt idx="7">
                  <c:v>-87.298346307735997</c:v>
                </c:pt>
                <c:pt idx="8">
                  <c:v>-87.360409401414643</c:v>
                </c:pt>
                <c:pt idx="9">
                  <c:v>-87.414385825166107</c:v>
                </c:pt>
                <c:pt idx="10">
                  <c:v>-87.457365914863871</c:v>
                </c:pt>
                <c:pt idx="11">
                  <c:v>-87.485991140220122</c:v>
                </c:pt>
                <c:pt idx="12">
                  <c:v>-87.493748346170889</c:v>
                </c:pt>
                <c:pt idx="13">
                  <c:v>-87.496452768608705</c:v>
                </c:pt>
                <c:pt idx="14">
                  <c:v>-87.496453886955948</c:v>
                </c:pt>
                <c:pt idx="15">
                  <c:v>-87.496453886955948</c:v>
                </c:pt>
                <c:pt idx="16">
                  <c:v>-87.496453886955948</c:v>
                </c:pt>
                <c:pt idx="17">
                  <c:v>-87.496453886955948</c:v>
                </c:pt>
                <c:pt idx="18">
                  <c:v>-87.496453886955948</c:v>
                </c:pt>
                <c:pt idx="19">
                  <c:v>-87.496453886955948</c:v>
                </c:pt>
                <c:pt idx="20">
                  <c:v>-87.496453886955948</c:v>
                </c:pt>
                <c:pt idx="21">
                  <c:v>-87.496453886955948</c:v>
                </c:pt>
                <c:pt idx="22">
                  <c:v>-87.496453886955948</c:v>
                </c:pt>
                <c:pt idx="23">
                  <c:v>-87.496453886955948</c:v>
                </c:pt>
                <c:pt idx="24">
                  <c:v>-87.496453886955948</c:v>
                </c:pt>
                <c:pt idx="25">
                  <c:v>-87.496453886955948</c:v>
                </c:pt>
                <c:pt idx="26">
                  <c:v>-87.496453886955948</c:v>
                </c:pt>
                <c:pt idx="27">
                  <c:v>-87.496453886955948</c:v>
                </c:pt>
                <c:pt idx="28">
                  <c:v>-87.496453886955948</c:v>
                </c:pt>
                <c:pt idx="29">
                  <c:v>-87.496453886955948</c:v>
                </c:pt>
                <c:pt idx="30">
                  <c:v>-87.496453886955948</c:v>
                </c:pt>
                <c:pt idx="31">
                  <c:v>-87.496453886955948</c:v>
                </c:pt>
                <c:pt idx="32">
                  <c:v>-87.496453886955948</c:v>
                </c:pt>
                <c:pt idx="33">
                  <c:v>-87.496453886955948</c:v>
                </c:pt>
                <c:pt idx="34">
                  <c:v>-87.496453886955948</c:v>
                </c:pt>
                <c:pt idx="35">
                  <c:v>-87.496453886955948</c:v>
                </c:pt>
                <c:pt idx="36">
                  <c:v>-87.496453886955948</c:v>
                </c:pt>
                <c:pt idx="37">
                  <c:v>-87.496453886955948</c:v>
                </c:pt>
                <c:pt idx="38">
                  <c:v>-87.496453886955948</c:v>
                </c:pt>
                <c:pt idx="39">
                  <c:v>-87.496453886955948</c:v>
                </c:pt>
                <c:pt idx="40">
                  <c:v>-87.496453886955948</c:v>
                </c:pt>
                <c:pt idx="41">
                  <c:v>-87.496453886955948</c:v>
                </c:pt>
                <c:pt idx="42">
                  <c:v>-87.496453886955948</c:v>
                </c:pt>
                <c:pt idx="43">
                  <c:v>-87.496453886955948</c:v>
                </c:pt>
                <c:pt idx="44">
                  <c:v>-87.496453886955948</c:v>
                </c:pt>
                <c:pt idx="45">
                  <c:v>-87.496453886955948</c:v>
                </c:pt>
                <c:pt idx="46">
                  <c:v>-87.496453886955948</c:v>
                </c:pt>
                <c:pt idx="47">
                  <c:v>-87.496453886955948</c:v>
                </c:pt>
                <c:pt idx="48">
                  <c:v>-87.496453886955948</c:v>
                </c:pt>
                <c:pt idx="49">
                  <c:v>-87.496453886955948</c:v>
                </c:pt>
                <c:pt idx="50">
                  <c:v>-87.496453886955948</c:v>
                </c:pt>
                <c:pt idx="51">
                  <c:v>-87.496453886955948</c:v>
                </c:pt>
                <c:pt idx="52">
                  <c:v>-87.496453886955948</c:v>
                </c:pt>
                <c:pt idx="53">
                  <c:v>-87.496453886955948</c:v>
                </c:pt>
                <c:pt idx="54">
                  <c:v>-87.496453886955948</c:v>
                </c:pt>
                <c:pt idx="55">
                  <c:v>-87.496453886955948</c:v>
                </c:pt>
                <c:pt idx="56">
                  <c:v>-87.496453886955948</c:v>
                </c:pt>
                <c:pt idx="57">
                  <c:v>-87.496453886955948</c:v>
                </c:pt>
                <c:pt idx="58">
                  <c:v>-87.496453886955948</c:v>
                </c:pt>
                <c:pt idx="59">
                  <c:v>-87.496453886955948</c:v>
                </c:pt>
                <c:pt idx="60">
                  <c:v>-87.496453886955948</c:v>
                </c:pt>
                <c:pt idx="61">
                  <c:v>-87.496453886955948</c:v>
                </c:pt>
                <c:pt idx="62">
                  <c:v>-87.496453886955948</c:v>
                </c:pt>
                <c:pt idx="63">
                  <c:v>-87.496453886955948</c:v>
                </c:pt>
                <c:pt idx="64">
                  <c:v>-87.496453886955948</c:v>
                </c:pt>
                <c:pt idx="65">
                  <c:v>-87.496453886955948</c:v>
                </c:pt>
                <c:pt idx="66">
                  <c:v>-87.496453886955948</c:v>
                </c:pt>
                <c:pt idx="67">
                  <c:v>-87.496453886955948</c:v>
                </c:pt>
                <c:pt idx="68">
                  <c:v>-87.496453886955948</c:v>
                </c:pt>
                <c:pt idx="69">
                  <c:v>-87.496453886955948</c:v>
                </c:pt>
                <c:pt idx="70">
                  <c:v>-87.496453886955948</c:v>
                </c:pt>
                <c:pt idx="71">
                  <c:v>-87.496453886955948</c:v>
                </c:pt>
                <c:pt idx="72">
                  <c:v>-87.496453886955948</c:v>
                </c:pt>
                <c:pt idx="73">
                  <c:v>-87.496453886955948</c:v>
                </c:pt>
                <c:pt idx="74">
                  <c:v>-87.496453886955948</c:v>
                </c:pt>
                <c:pt idx="75">
                  <c:v>-87.496453886955948</c:v>
                </c:pt>
                <c:pt idx="76">
                  <c:v>-87.496453886955948</c:v>
                </c:pt>
                <c:pt idx="77">
                  <c:v>-87.496453886955948</c:v>
                </c:pt>
                <c:pt idx="78">
                  <c:v>-87.496453886955948</c:v>
                </c:pt>
                <c:pt idx="79">
                  <c:v>-87.496453886955948</c:v>
                </c:pt>
                <c:pt idx="80">
                  <c:v>-87.496453886955948</c:v>
                </c:pt>
                <c:pt idx="81">
                  <c:v>-87.496453886955948</c:v>
                </c:pt>
                <c:pt idx="82">
                  <c:v>-87.496453886955948</c:v>
                </c:pt>
                <c:pt idx="83">
                  <c:v>-87.496453886955948</c:v>
                </c:pt>
                <c:pt idx="84">
                  <c:v>-87.496453886955948</c:v>
                </c:pt>
                <c:pt idx="85">
                  <c:v>-87.496453886955948</c:v>
                </c:pt>
                <c:pt idx="86">
                  <c:v>-87.496453886955948</c:v>
                </c:pt>
                <c:pt idx="87">
                  <c:v>-87.496453886955948</c:v>
                </c:pt>
                <c:pt idx="88">
                  <c:v>-87.496453886955948</c:v>
                </c:pt>
                <c:pt idx="89">
                  <c:v>-87.496453886955948</c:v>
                </c:pt>
                <c:pt idx="90">
                  <c:v>-87.496453886955948</c:v>
                </c:pt>
                <c:pt idx="91">
                  <c:v>-87.496453886955948</c:v>
                </c:pt>
                <c:pt idx="92">
                  <c:v>-87.496453886955948</c:v>
                </c:pt>
                <c:pt idx="93">
                  <c:v>-87.496453886955948</c:v>
                </c:pt>
                <c:pt idx="94">
                  <c:v>-87.496453886955948</c:v>
                </c:pt>
                <c:pt idx="95">
                  <c:v>-87.496453886955948</c:v>
                </c:pt>
                <c:pt idx="96">
                  <c:v>-87.496453886955948</c:v>
                </c:pt>
                <c:pt idx="97">
                  <c:v>-87.496453886955948</c:v>
                </c:pt>
                <c:pt idx="98">
                  <c:v>-87.496453886955948</c:v>
                </c:pt>
                <c:pt idx="99">
                  <c:v>-87.496452768608705</c:v>
                </c:pt>
                <c:pt idx="100">
                  <c:v>-87.493748346170889</c:v>
                </c:pt>
                <c:pt idx="101">
                  <c:v>-87.485991140220122</c:v>
                </c:pt>
                <c:pt idx="102">
                  <c:v>-87.457365914863857</c:v>
                </c:pt>
                <c:pt idx="103">
                  <c:v>-87.414385825166093</c:v>
                </c:pt>
                <c:pt idx="104">
                  <c:v>-87.360409401414643</c:v>
                </c:pt>
                <c:pt idx="105">
                  <c:v>-87.298346307735997</c:v>
                </c:pt>
                <c:pt idx="106">
                  <c:v>-87.230657616775844</c:v>
                </c:pt>
                <c:pt idx="107">
                  <c:v>-87.1593561262885</c:v>
                </c:pt>
                <c:pt idx="108">
                  <c:v>-87.08600670499797</c:v>
                </c:pt>
                <c:pt idx="109">
                  <c:v>-87.011726657393879</c:v>
                </c:pt>
                <c:pt idx="110">
                  <c:v>-86.974464517864078</c:v>
                </c:pt>
                <c:pt idx="111">
                  <c:v>-86.93793169104876</c:v>
                </c:pt>
                <c:pt idx="112">
                  <c:v>-86.937186099426896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6385792"/>
        <c:axId val="426387328"/>
      </c:scatterChart>
      <c:valAx>
        <c:axId val="426385792"/>
        <c:scaling>
          <c:orientation val="minMax"/>
          <c:min val="0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426387328"/>
        <c:crosses val="autoZero"/>
        <c:crossBetween val="midCat"/>
      </c:valAx>
      <c:valAx>
        <c:axId val="426387328"/>
        <c:scaling>
          <c:orientation val="minMax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crossAx val="426385792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CH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'Erweiterte Anwendung'!$N$2:$N$3</c:f>
              <c:strCache>
                <c:ptCount val="1"/>
                <c:pt idx="0">
                  <c:v>LK 1 Ftot-Max</c:v>
                </c:pt>
              </c:strCache>
            </c:strRef>
          </c:tx>
          <c:marker>
            <c:symbol val="none"/>
          </c:marker>
          <c:xVal>
            <c:numRef>
              <c:f>'Erweiterte Anwendung'!$M$4:$M$760</c:f>
              <c:numCache>
                <c:formatCode>General</c:formatCode>
                <c:ptCount val="757"/>
                <c:pt idx="0">
                  <c:v>0</c:v>
                </c:pt>
                <c:pt idx="1">
                  <c:v>1E-3</c:v>
                </c:pt>
                <c:pt idx="2">
                  <c:v>0.05</c:v>
                </c:pt>
                <c:pt idx="3">
                  <c:v>0.1</c:v>
                </c:pt>
                <c:pt idx="4">
                  <c:v>0.2</c:v>
                </c:pt>
                <c:pt idx="5">
                  <c:v>0.30000000000000004</c:v>
                </c:pt>
                <c:pt idx="6">
                  <c:v>0.4</c:v>
                </c:pt>
                <c:pt idx="7">
                  <c:v>0.5</c:v>
                </c:pt>
                <c:pt idx="8">
                  <c:v>0.60000000000000009</c:v>
                </c:pt>
                <c:pt idx="9">
                  <c:v>0.70000000000000007</c:v>
                </c:pt>
                <c:pt idx="10">
                  <c:v>0.8</c:v>
                </c:pt>
                <c:pt idx="11">
                  <c:v>0.9</c:v>
                </c:pt>
                <c:pt idx="12">
                  <c:v>0.95000000000000007</c:v>
                </c:pt>
                <c:pt idx="13">
                  <c:v>0.99900000000000011</c:v>
                </c:pt>
                <c:pt idx="14">
                  <c:v>1</c:v>
                </c:pt>
                <c:pt idx="15">
                  <c:v>1.004</c:v>
                </c:pt>
                <c:pt idx="16">
                  <c:v>1.2</c:v>
                </c:pt>
                <c:pt idx="17">
                  <c:v>1.4</c:v>
                </c:pt>
                <c:pt idx="18">
                  <c:v>1.8</c:v>
                </c:pt>
                <c:pt idx="19">
                  <c:v>2.2000000000000002</c:v>
                </c:pt>
                <c:pt idx="20">
                  <c:v>2.6</c:v>
                </c:pt>
                <c:pt idx="21">
                  <c:v>3</c:v>
                </c:pt>
                <c:pt idx="22">
                  <c:v>3.4000000000000004</c:v>
                </c:pt>
                <c:pt idx="23">
                  <c:v>3.8000000000000003</c:v>
                </c:pt>
                <c:pt idx="24">
                  <c:v>4.2</c:v>
                </c:pt>
                <c:pt idx="25">
                  <c:v>4.5999999999999996</c:v>
                </c:pt>
                <c:pt idx="26">
                  <c:v>4.8000000000000007</c:v>
                </c:pt>
                <c:pt idx="27">
                  <c:v>4.9960000000000004</c:v>
                </c:pt>
                <c:pt idx="28">
                  <c:v>5</c:v>
                </c:pt>
                <c:pt idx="29">
                  <c:v>5.0039999999999996</c:v>
                </c:pt>
                <c:pt idx="30">
                  <c:v>5.2</c:v>
                </c:pt>
                <c:pt idx="31">
                  <c:v>5.4</c:v>
                </c:pt>
                <c:pt idx="32">
                  <c:v>5.8</c:v>
                </c:pt>
                <c:pt idx="33">
                  <c:v>6.2</c:v>
                </c:pt>
                <c:pt idx="34">
                  <c:v>6.6</c:v>
                </c:pt>
                <c:pt idx="35">
                  <c:v>7</c:v>
                </c:pt>
                <c:pt idx="36">
                  <c:v>7.4</c:v>
                </c:pt>
                <c:pt idx="37">
                  <c:v>7.8000000000000007</c:v>
                </c:pt>
                <c:pt idx="38">
                  <c:v>8.1999999999999993</c:v>
                </c:pt>
                <c:pt idx="39">
                  <c:v>8.6</c:v>
                </c:pt>
                <c:pt idx="40">
                  <c:v>8.8000000000000007</c:v>
                </c:pt>
                <c:pt idx="41">
                  <c:v>8.9960000000000004</c:v>
                </c:pt>
                <c:pt idx="42">
                  <c:v>9</c:v>
                </c:pt>
                <c:pt idx="43">
                  <c:v>9</c:v>
                </c:pt>
                <c:pt idx="44">
                  <c:v>9</c:v>
                </c:pt>
                <c:pt idx="45">
                  <c:v>9</c:v>
                </c:pt>
                <c:pt idx="46">
                  <c:v>9</c:v>
                </c:pt>
                <c:pt idx="47">
                  <c:v>9</c:v>
                </c:pt>
                <c:pt idx="48">
                  <c:v>9</c:v>
                </c:pt>
                <c:pt idx="49">
                  <c:v>9</c:v>
                </c:pt>
                <c:pt idx="50">
                  <c:v>9</c:v>
                </c:pt>
                <c:pt idx="51">
                  <c:v>9</c:v>
                </c:pt>
                <c:pt idx="52">
                  <c:v>9</c:v>
                </c:pt>
                <c:pt idx="53">
                  <c:v>9</c:v>
                </c:pt>
                <c:pt idx="54">
                  <c:v>9</c:v>
                </c:pt>
                <c:pt idx="55">
                  <c:v>9</c:v>
                </c:pt>
                <c:pt idx="56">
                  <c:v>9</c:v>
                </c:pt>
                <c:pt idx="57">
                  <c:v>9</c:v>
                </c:pt>
                <c:pt idx="58">
                  <c:v>9</c:v>
                </c:pt>
                <c:pt idx="59">
                  <c:v>9</c:v>
                </c:pt>
                <c:pt idx="60">
                  <c:v>9</c:v>
                </c:pt>
                <c:pt idx="61">
                  <c:v>9</c:v>
                </c:pt>
                <c:pt idx="62">
                  <c:v>9</c:v>
                </c:pt>
                <c:pt idx="63">
                  <c:v>9</c:v>
                </c:pt>
                <c:pt idx="64">
                  <c:v>9</c:v>
                </c:pt>
                <c:pt idx="65">
                  <c:v>9</c:v>
                </c:pt>
                <c:pt idx="66">
                  <c:v>9</c:v>
                </c:pt>
                <c:pt idx="67">
                  <c:v>9</c:v>
                </c:pt>
                <c:pt idx="68">
                  <c:v>9</c:v>
                </c:pt>
                <c:pt idx="69">
                  <c:v>9</c:v>
                </c:pt>
                <c:pt idx="70">
                  <c:v>9</c:v>
                </c:pt>
                <c:pt idx="71">
                  <c:v>9</c:v>
                </c:pt>
                <c:pt idx="72">
                  <c:v>9</c:v>
                </c:pt>
                <c:pt idx="73">
                  <c:v>9</c:v>
                </c:pt>
                <c:pt idx="74">
                  <c:v>9</c:v>
                </c:pt>
                <c:pt idx="75">
                  <c:v>9</c:v>
                </c:pt>
                <c:pt idx="76">
                  <c:v>9</c:v>
                </c:pt>
                <c:pt idx="77">
                  <c:v>9</c:v>
                </c:pt>
                <c:pt idx="78">
                  <c:v>9</c:v>
                </c:pt>
                <c:pt idx="79">
                  <c:v>9</c:v>
                </c:pt>
                <c:pt idx="80">
                  <c:v>9</c:v>
                </c:pt>
                <c:pt idx="81">
                  <c:v>9</c:v>
                </c:pt>
                <c:pt idx="82">
                  <c:v>9</c:v>
                </c:pt>
                <c:pt idx="83">
                  <c:v>9</c:v>
                </c:pt>
                <c:pt idx="84">
                  <c:v>9</c:v>
                </c:pt>
                <c:pt idx="85">
                  <c:v>9</c:v>
                </c:pt>
                <c:pt idx="86">
                  <c:v>9</c:v>
                </c:pt>
                <c:pt idx="87">
                  <c:v>9</c:v>
                </c:pt>
                <c:pt idx="88">
                  <c:v>9</c:v>
                </c:pt>
                <c:pt idx="89">
                  <c:v>9</c:v>
                </c:pt>
                <c:pt idx="90">
                  <c:v>9</c:v>
                </c:pt>
                <c:pt idx="91">
                  <c:v>9</c:v>
                </c:pt>
                <c:pt idx="92">
                  <c:v>9</c:v>
                </c:pt>
                <c:pt idx="93">
                  <c:v>9</c:v>
                </c:pt>
                <c:pt idx="94">
                  <c:v>9</c:v>
                </c:pt>
                <c:pt idx="95">
                  <c:v>9</c:v>
                </c:pt>
                <c:pt idx="96">
                  <c:v>9</c:v>
                </c:pt>
                <c:pt idx="97">
                  <c:v>9</c:v>
                </c:pt>
                <c:pt idx="98">
                  <c:v>9</c:v>
                </c:pt>
                <c:pt idx="99">
                  <c:v>9.0009999999999994</c:v>
                </c:pt>
                <c:pt idx="100">
                  <c:v>9.0500000000000007</c:v>
                </c:pt>
                <c:pt idx="101">
                  <c:v>9.1</c:v>
                </c:pt>
                <c:pt idx="102">
                  <c:v>9.1999999999999993</c:v>
                </c:pt>
                <c:pt idx="103">
                  <c:v>9.3000000000000007</c:v>
                </c:pt>
                <c:pt idx="104">
                  <c:v>9.4</c:v>
                </c:pt>
                <c:pt idx="105">
                  <c:v>9.5</c:v>
                </c:pt>
                <c:pt idx="106">
                  <c:v>9.6</c:v>
                </c:pt>
                <c:pt idx="107">
                  <c:v>9.6999999999999993</c:v>
                </c:pt>
                <c:pt idx="108">
                  <c:v>9.8000000000000007</c:v>
                </c:pt>
                <c:pt idx="109">
                  <c:v>9.9</c:v>
                </c:pt>
                <c:pt idx="110">
                  <c:v>9.9499999999999993</c:v>
                </c:pt>
                <c:pt idx="111">
                  <c:v>9.9990000000000006</c:v>
                </c:pt>
                <c:pt idx="112">
                  <c:v>10</c:v>
                </c:pt>
              </c:numCache>
            </c:numRef>
          </c:xVal>
          <c:yVal>
            <c:numRef>
              <c:f>'Erweiterte Anwendung'!$N$4:$N$760</c:f>
              <c:numCache>
                <c:formatCode>0</c:formatCode>
                <c:ptCount val="757"/>
                <c:pt idx="0">
                  <c:v>-4.4144335361192175E-14</c:v>
                </c:pt>
                <c:pt idx="1">
                  <c:v>-8.814170936031953E-5</c:v>
                </c:pt>
                <c:pt idx="2">
                  <c:v>-0.21981376154500146</c:v>
                </c:pt>
                <c:pt idx="3">
                  <c:v>-0.87704886003138716</c:v>
                </c:pt>
                <c:pt idx="4">
                  <c:v>-3.4905450032648009</c:v>
                </c:pt>
                <c:pt idx="5">
                  <c:v>-7.8140046757663768</c:v>
                </c:pt>
                <c:pt idx="6">
                  <c:v>-13.820916156646996</c:v>
                </c:pt>
                <c:pt idx="7">
                  <c:v>-21.484707765165194</c:v>
                </c:pt>
                <c:pt idx="8">
                  <c:v>-30.778703397890684</c:v>
                </c:pt>
                <c:pt idx="9">
                  <c:v>-41.676065792810604</c:v>
                </c:pt>
                <c:pt idx="10">
                  <c:v>-54.149727718049029</c:v>
                </c:pt>
                <c:pt idx="11">
                  <c:v>-68.172311284079854</c:v>
                </c:pt>
                <c:pt idx="12">
                  <c:v>-75.755785652521737</c:v>
                </c:pt>
                <c:pt idx="13">
                  <c:v>-83.553161097902205</c:v>
                </c:pt>
                <c:pt idx="14">
                  <c:v>-83.716035580029214</c:v>
                </c:pt>
                <c:pt idx="15">
                  <c:v>-82.7023594607859</c:v>
                </c:pt>
                <c:pt idx="16">
                  <c:v>-35.919882295401763</c:v>
                </c:pt>
                <c:pt idx="17">
                  <c:v>6.1375454761517725</c:v>
                </c:pt>
                <c:pt idx="18">
                  <c:v>73.981345348724787</c:v>
                </c:pt>
                <c:pt idx="19">
                  <c:v>121.67402007372213</c:v>
                </c:pt>
                <c:pt idx="20">
                  <c:v>150.94030350998162</c:v>
                </c:pt>
                <c:pt idx="21">
                  <c:v>163.28002255805444</c:v>
                </c:pt>
                <c:pt idx="22">
                  <c:v>159.91212545032124</c:v>
                </c:pt>
                <c:pt idx="23">
                  <c:v>141.75089667843292</c:v>
                </c:pt>
                <c:pt idx="24">
                  <c:v>109.41205458222008</c:v>
                </c:pt>
                <c:pt idx="25">
                  <c:v>63.246995914071888</c:v>
                </c:pt>
                <c:pt idx="26">
                  <c:v>35.031694830933617</c:v>
                </c:pt>
                <c:pt idx="27">
                  <c:v>4.0699933956828955</c:v>
                </c:pt>
                <c:pt idx="28">
                  <c:v>3.4040089683392458</c:v>
                </c:pt>
                <c:pt idx="29">
                  <c:v>4.0699933956829426</c:v>
                </c:pt>
                <c:pt idx="30">
                  <c:v>35.031694830933262</c:v>
                </c:pt>
                <c:pt idx="31">
                  <c:v>63.246995914070872</c:v>
                </c:pt>
                <c:pt idx="32">
                  <c:v>109.41205458221802</c:v>
                </c:pt>
                <c:pt idx="33">
                  <c:v>141.75089667842974</c:v>
                </c:pt>
                <c:pt idx="34">
                  <c:v>159.91212545031712</c:v>
                </c:pt>
                <c:pt idx="35">
                  <c:v>163.2800225580493</c:v>
                </c:pt>
                <c:pt idx="36">
                  <c:v>150.94030350997559</c:v>
                </c:pt>
                <c:pt idx="37">
                  <c:v>121.67402007371521</c:v>
                </c:pt>
                <c:pt idx="38">
                  <c:v>73.981345348717397</c:v>
                </c:pt>
                <c:pt idx="39">
                  <c:v>6.1375454761439681</c:v>
                </c:pt>
                <c:pt idx="40">
                  <c:v>-35.919882295409913</c:v>
                </c:pt>
                <c:pt idx="41">
                  <c:v>-82.702359460794042</c:v>
                </c:pt>
                <c:pt idx="42">
                  <c:v>-83.716035580037044</c:v>
                </c:pt>
                <c:pt idx="43">
                  <c:v>-83.716035580037044</c:v>
                </c:pt>
                <c:pt idx="44">
                  <c:v>-83.716035580037044</c:v>
                </c:pt>
                <c:pt idx="45">
                  <c:v>-83.716035580037044</c:v>
                </c:pt>
                <c:pt idx="46">
                  <c:v>-83.716035580037044</c:v>
                </c:pt>
                <c:pt idx="47">
                  <c:v>-83.716035580037044</c:v>
                </c:pt>
                <c:pt idx="48">
                  <c:v>-83.716035580037044</c:v>
                </c:pt>
                <c:pt idx="49">
                  <c:v>-83.716035580037044</c:v>
                </c:pt>
                <c:pt idx="50">
                  <c:v>-83.716035580037044</c:v>
                </c:pt>
                <c:pt idx="51">
                  <c:v>-83.716035580037044</c:v>
                </c:pt>
                <c:pt idx="52">
                  <c:v>-83.716035580037044</c:v>
                </c:pt>
                <c:pt idx="53">
                  <c:v>-83.716035580037044</c:v>
                </c:pt>
                <c:pt idx="54">
                  <c:v>-83.716035580037044</c:v>
                </c:pt>
                <c:pt idx="55">
                  <c:v>-83.716035580037044</c:v>
                </c:pt>
                <c:pt idx="56">
                  <c:v>-83.716035580037044</c:v>
                </c:pt>
                <c:pt idx="57">
                  <c:v>-83.716035580037044</c:v>
                </c:pt>
                <c:pt idx="58">
                  <c:v>-83.716035580037044</c:v>
                </c:pt>
                <c:pt idx="59">
                  <c:v>-83.716035580037044</c:v>
                </c:pt>
                <c:pt idx="60">
                  <c:v>-83.716035580037044</c:v>
                </c:pt>
                <c:pt idx="61">
                  <c:v>-83.716035580037044</c:v>
                </c:pt>
                <c:pt idx="62">
                  <c:v>-83.716035580037044</c:v>
                </c:pt>
                <c:pt idx="63">
                  <c:v>-83.716035580037044</c:v>
                </c:pt>
                <c:pt idx="64">
                  <c:v>-83.716035580037044</c:v>
                </c:pt>
                <c:pt idx="65">
                  <c:v>-83.716035580037044</c:v>
                </c:pt>
                <c:pt idx="66">
                  <c:v>-83.716035580037044</c:v>
                </c:pt>
                <c:pt idx="67">
                  <c:v>-83.716035580037044</c:v>
                </c:pt>
                <c:pt idx="68">
                  <c:v>-83.716035580037044</c:v>
                </c:pt>
                <c:pt idx="69">
                  <c:v>-83.716035580037044</c:v>
                </c:pt>
                <c:pt idx="70">
                  <c:v>-83.716035580037044</c:v>
                </c:pt>
                <c:pt idx="71">
                  <c:v>-83.716035580037044</c:v>
                </c:pt>
                <c:pt idx="72">
                  <c:v>-83.716035580037044</c:v>
                </c:pt>
                <c:pt idx="73">
                  <c:v>-83.716035580037044</c:v>
                </c:pt>
                <c:pt idx="74">
                  <c:v>-83.716035580037044</c:v>
                </c:pt>
                <c:pt idx="75">
                  <c:v>-83.716035580037044</c:v>
                </c:pt>
                <c:pt idx="76">
                  <c:v>-83.716035580037044</c:v>
                </c:pt>
                <c:pt idx="77">
                  <c:v>-83.716035580037044</c:v>
                </c:pt>
                <c:pt idx="78">
                  <c:v>-83.716035580037044</c:v>
                </c:pt>
                <c:pt idx="79">
                  <c:v>-83.716035580037044</c:v>
                </c:pt>
                <c:pt idx="80">
                  <c:v>-83.716035580037044</c:v>
                </c:pt>
                <c:pt idx="81">
                  <c:v>-83.716035580037044</c:v>
                </c:pt>
                <c:pt idx="82">
                  <c:v>-83.716035580037044</c:v>
                </c:pt>
                <c:pt idx="83">
                  <c:v>-83.716035580037044</c:v>
                </c:pt>
                <c:pt idx="84">
                  <c:v>-83.716035580037044</c:v>
                </c:pt>
                <c:pt idx="85">
                  <c:v>-83.716035580037044</c:v>
                </c:pt>
                <c:pt idx="86">
                  <c:v>-83.716035580037044</c:v>
                </c:pt>
                <c:pt idx="87">
                  <c:v>-83.716035580037044</c:v>
                </c:pt>
                <c:pt idx="88">
                  <c:v>-83.716035580037044</c:v>
                </c:pt>
                <c:pt idx="89">
                  <c:v>-83.716035580037044</c:v>
                </c:pt>
                <c:pt idx="90">
                  <c:v>-83.716035580037044</c:v>
                </c:pt>
                <c:pt idx="91">
                  <c:v>-83.716035580037044</c:v>
                </c:pt>
                <c:pt idx="92">
                  <c:v>-83.716035580037044</c:v>
                </c:pt>
                <c:pt idx="93">
                  <c:v>-83.716035580037044</c:v>
                </c:pt>
                <c:pt idx="94">
                  <c:v>-83.716035580037044</c:v>
                </c:pt>
                <c:pt idx="95">
                  <c:v>-83.716035580037044</c:v>
                </c:pt>
                <c:pt idx="96">
                  <c:v>-83.716035580037044</c:v>
                </c:pt>
                <c:pt idx="97">
                  <c:v>-83.716035580037044</c:v>
                </c:pt>
                <c:pt idx="98">
                  <c:v>-83.716035580037044</c:v>
                </c:pt>
                <c:pt idx="99">
                  <c:v>-83.553161097910177</c:v>
                </c:pt>
                <c:pt idx="100">
                  <c:v>-75.75578565252944</c:v>
                </c:pt>
                <c:pt idx="101">
                  <c:v>-68.172311284087712</c:v>
                </c:pt>
                <c:pt idx="102">
                  <c:v>-54.149727718056937</c:v>
                </c:pt>
                <c:pt idx="103">
                  <c:v>-41.676065792818299</c:v>
                </c:pt>
                <c:pt idx="104">
                  <c:v>-30.778703397898333</c:v>
                </c:pt>
                <c:pt idx="105">
                  <c:v>-21.484707765172786</c:v>
                </c:pt>
                <c:pt idx="106">
                  <c:v>-13.820916156654475</c:v>
                </c:pt>
                <c:pt idx="107">
                  <c:v>-7.8140046757737309</c:v>
                </c:pt>
                <c:pt idx="108">
                  <c:v>-3.4905450032718051</c:v>
                </c:pt>
                <c:pt idx="109">
                  <c:v>-0.87704886003816096</c:v>
                </c:pt>
                <c:pt idx="110">
                  <c:v>-0.21981376155163301</c:v>
                </c:pt>
                <c:pt idx="111">
                  <c:v>-8.8141715885261493E-5</c:v>
                </c:pt>
                <c:pt idx="112">
                  <c:v>-6.4867779497954331E-12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'Erweiterte Anwendung'!$O$2:$O$3</c:f>
              <c:strCache>
                <c:ptCount val="1"/>
                <c:pt idx="0">
                  <c:v>LK 2 F1 Max</c:v>
                </c:pt>
              </c:strCache>
            </c:strRef>
          </c:tx>
          <c:marker>
            <c:symbol val="none"/>
          </c:marker>
          <c:xVal>
            <c:numRef>
              <c:f>'Erweiterte Anwendung'!$M$4:$M$760</c:f>
              <c:numCache>
                <c:formatCode>General</c:formatCode>
                <c:ptCount val="757"/>
                <c:pt idx="0">
                  <c:v>0</c:v>
                </c:pt>
                <c:pt idx="1">
                  <c:v>1E-3</c:v>
                </c:pt>
                <c:pt idx="2">
                  <c:v>0.05</c:v>
                </c:pt>
                <c:pt idx="3">
                  <c:v>0.1</c:v>
                </c:pt>
                <c:pt idx="4">
                  <c:v>0.2</c:v>
                </c:pt>
                <c:pt idx="5">
                  <c:v>0.30000000000000004</c:v>
                </c:pt>
                <c:pt idx="6">
                  <c:v>0.4</c:v>
                </c:pt>
                <c:pt idx="7">
                  <c:v>0.5</c:v>
                </c:pt>
                <c:pt idx="8">
                  <c:v>0.60000000000000009</c:v>
                </c:pt>
                <c:pt idx="9">
                  <c:v>0.70000000000000007</c:v>
                </c:pt>
                <c:pt idx="10">
                  <c:v>0.8</c:v>
                </c:pt>
                <c:pt idx="11">
                  <c:v>0.9</c:v>
                </c:pt>
                <c:pt idx="12">
                  <c:v>0.95000000000000007</c:v>
                </c:pt>
                <c:pt idx="13">
                  <c:v>0.99900000000000011</c:v>
                </c:pt>
                <c:pt idx="14">
                  <c:v>1</c:v>
                </c:pt>
                <c:pt idx="15">
                  <c:v>1.004</c:v>
                </c:pt>
                <c:pt idx="16">
                  <c:v>1.2</c:v>
                </c:pt>
                <c:pt idx="17">
                  <c:v>1.4</c:v>
                </c:pt>
                <c:pt idx="18">
                  <c:v>1.8</c:v>
                </c:pt>
                <c:pt idx="19">
                  <c:v>2.2000000000000002</c:v>
                </c:pt>
                <c:pt idx="20">
                  <c:v>2.6</c:v>
                </c:pt>
                <c:pt idx="21">
                  <c:v>3</c:v>
                </c:pt>
                <c:pt idx="22">
                  <c:v>3.4000000000000004</c:v>
                </c:pt>
                <c:pt idx="23">
                  <c:v>3.8000000000000003</c:v>
                </c:pt>
                <c:pt idx="24">
                  <c:v>4.2</c:v>
                </c:pt>
                <c:pt idx="25">
                  <c:v>4.5999999999999996</c:v>
                </c:pt>
                <c:pt idx="26">
                  <c:v>4.8000000000000007</c:v>
                </c:pt>
                <c:pt idx="27">
                  <c:v>4.9960000000000004</c:v>
                </c:pt>
                <c:pt idx="28">
                  <c:v>5</c:v>
                </c:pt>
                <c:pt idx="29">
                  <c:v>5.0039999999999996</c:v>
                </c:pt>
                <c:pt idx="30">
                  <c:v>5.2</c:v>
                </c:pt>
                <c:pt idx="31">
                  <c:v>5.4</c:v>
                </c:pt>
                <c:pt idx="32">
                  <c:v>5.8</c:v>
                </c:pt>
                <c:pt idx="33">
                  <c:v>6.2</c:v>
                </c:pt>
                <c:pt idx="34">
                  <c:v>6.6</c:v>
                </c:pt>
                <c:pt idx="35">
                  <c:v>7</c:v>
                </c:pt>
                <c:pt idx="36">
                  <c:v>7.4</c:v>
                </c:pt>
                <c:pt idx="37">
                  <c:v>7.8000000000000007</c:v>
                </c:pt>
                <c:pt idx="38">
                  <c:v>8.1999999999999993</c:v>
                </c:pt>
                <c:pt idx="39">
                  <c:v>8.6</c:v>
                </c:pt>
                <c:pt idx="40">
                  <c:v>8.8000000000000007</c:v>
                </c:pt>
                <c:pt idx="41">
                  <c:v>8.9960000000000004</c:v>
                </c:pt>
                <c:pt idx="42">
                  <c:v>9</c:v>
                </c:pt>
                <c:pt idx="43">
                  <c:v>9</c:v>
                </c:pt>
                <c:pt idx="44">
                  <c:v>9</c:v>
                </c:pt>
                <c:pt idx="45">
                  <c:v>9</c:v>
                </c:pt>
                <c:pt idx="46">
                  <c:v>9</c:v>
                </c:pt>
                <c:pt idx="47">
                  <c:v>9</c:v>
                </c:pt>
                <c:pt idx="48">
                  <c:v>9</c:v>
                </c:pt>
                <c:pt idx="49">
                  <c:v>9</c:v>
                </c:pt>
                <c:pt idx="50">
                  <c:v>9</c:v>
                </c:pt>
                <c:pt idx="51">
                  <c:v>9</c:v>
                </c:pt>
                <c:pt idx="52">
                  <c:v>9</c:v>
                </c:pt>
                <c:pt idx="53">
                  <c:v>9</c:v>
                </c:pt>
                <c:pt idx="54">
                  <c:v>9</c:v>
                </c:pt>
                <c:pt idx="55">
                  <c:v>9</c:v>
                </c:pt>
                <c:pt idx="56">
                  <c:v>9</c:v>
                </c:pt>
                <c:pt idx="57">
                  <c:v>9</c:v>
                </c:pt>
                <c:pt idx="58">
                  <c:v>9</c:v>
                </c:pt>
                <c:pt idx="59">
                  <c:v>9</c:v>
                </c:pt>
                <c:pt idx="60">
                  <c:v>9</c:v>
                </c:pt>
                <c:pt idx="61">
                  <c:v>9</c:v>
                </c:pt>
                <c:pt idx="62">
                  <c:v>9</c:v>
                </c:pt>
                <c:pt idx="63">
                  <c:v>9</c:v>
                </c:pt>
                <c:pt idx="64">
                  <c:v>9</c:v>
                </c:pt>
                <c:pt idx="65">
                  <c:v>9</c:v>
                </c:pt>
                <c:pt idx="66">
                  <c:v>9</c:v>
                </c:pt>
                <c:pt idx="67">
                  <c:v>9</c:v>
                </c:pt>
                <c:pt idx="68">
                  <c:v>9</c:v>
                </c:pt>
                <c:pt idx="69">
                  <c:v>9</c:v>
                </c:pt>
                <c:pt idx="70">
                  <c:v>9</c:v>
                </c:pt>
                <c:pt idx="71">
                  <c:v>9</c:v>
                </c:pt>
                <c:pt idx="72">
                  <c:v>9</c:v>
                </c:pt>
                <c:pt idx="73">
                  <c:v>9</c:v>
                </c:pt>
                <c:pt idx="74">
                  <c:v>9</c:v>
                </c:pt>
                <c:pt idx="75">
                  <c:v>9</c:v>
                </c:pt>
                <c:pt idx="76">
                  <c:v>9</c:v>
                </c:pt>
                <c:pt idx="77">
                  <c:v>9</c:v>
                </c:pt>
                <c:pt idx="78">
                  <c:v>9</c:v>
                </c:pt>
                <c:pt idx="79">
                  <c:v>9</c:v>
                </c:pt>
                <c:pt idx="80">
                  <c:v>9</c:v>
                </c:pt>
                <c:pt idx="81">
                  <c:v>9</c:v>
                </c:pt>
                <c:pt idx="82">
                  <c:v>9</c:v>
                </c:pt>
                <c:pt idx="83">
                  <c:v>9</c:v>
                </c:pt>
                <c:pt idx="84">
                  <c:v>9</c:v>
                </c:pt>
                <c:pt idx="85">
                  <c:v>9</c:v>
                </c:pt>
                <c:pt idx="86">
                  <c:v>9</c:v>
                </c:pt>
                <c:pt idx="87">
                  <c:v>9</c:v>
                </c:pt>
                <c:pt idx="88">
                  <c:v>9</c:v>
                </c:pt>
                <c:pt idx="89">
                  <c:v>9</c:v>
                </c:pt>
                <c:pt idx="90">
                  <c:v>9</c:v>
                </c:pt>
                <c:pt idx="91">
                  <c:v>9</c:v>
                </c:pt>
                <c:pt idx="92">
                  <c:v>9</c:v>
                </c:pt>
                <c:pt idx="93">
                  <c:v>9</c:v>
                </c:pt>
                <c:pt idx="94">
                  <c:v>9</c:v>
                </c:pt>
                <c:pt idx="95">
                  <c:v>9</c:v>
                </c:pt>
                <c:pt idx="96">
                  <c:v>9</c:v>
                </c:pt>
                <c:pt idx="97">
                  <c:v>9</c:v>
                </c:pt>
                <c:pt idx="98">
                  <c:v>9</c:v>
                </c:pt>
                <c:pt idx="99">
                  <c:v>9.0009999999999994</c:v>
                </c:pt>
                <c:pt idx="100">
                  <c:v>9.0500000000000007</c:v>
                </c:pt>
                <c:pt idx="101">
                  <c:v>9.1</c:v>
                </c:pt>
                <c:pt idx="102">
                  <c:v>9.1999999999999993</c:v>
                </c:pt>
                <c:pt idx="103">
                  <c:v>9.3000000000000007</c:v>
                </c:pt>
                <c:pt idx="104">
                  <c:v>9.4</c:v>
                </c:pt>
                <c:pt idx="105">
                  <c:v>9.5</c:v>
                </c:pt>
                <c:pt idx="106">
                  <c:v>9.6</c:v>
                </c:pt>
                <c:pt idx="107">
                  <c:v>9.6999999999999993</c:v>
                </c:pt>
                <c:pt idx="108">
                  <c:v>9.8000000000000007</c:v>
                </c:pt>
                <c:pt idx="109">
                  <c:v>9.9</c:v>
                </c:pt>
                <c:pt idx="110">
                  <c:v>9.9499999999999993</c:v>
                </c:pt>
                <c:pt idx="111">
                  <c:v>9.9990000000000006</c:v>
                </c:pt>
                <c:pt idx="112">
                  <c:v>10</c:v>
                </c:pt>
              </c:numCache>
            </c:numRef>
          </c:xVal>
          <c:yVal>
            <c:numRef>
              <c:f>'Erweiterte Anwendung'!$O$4:$O$760</c:f>
              <c:numCache>
                <c:formatCode>0</c:formatCode>
                <c:ptCount val="757"/>
                <c:pt idx="0">
                  <c:v>-5.4924681073283674E-14</c:v>
                </c:pt>
                <c:pt idx="1">
                  <c:v>-1.2050735650078991E-4</c:v>
                </c:pt>
                <c:pt idx="2">
                  <c:v>-0.30050237511998823</c:v>
                </c:pt>
                <c:pt idx="3">
                  <c:v>-1.1988828830234193</c:v>
                </c:pt>
                <c:pt idx="4">
                  <c:v>-4.7705172970081069</c:v>
                </c:pt>
                <c:pt idx="5">
                  <c:v>-10.677370819991818</c:v>
                </c:pt>
                <c:pt idx="6">
                  <c:v>-18.88187280986023</c:v>
                </c:pt>
                <c:pt idx="7">
                  <c:v>-29.346370696259356</c:v>
                </c:pt>
                <c:pt idx="8">
                  <c:v>-42.033069252990877</c:v>
                </c:pt>
                <c:pt idx="9">
                  <c:v>-56.903953129872981</c:v>
                </c:pt>
                <c:pt idx="10">
                  <c:v>-73.920692924126982</c:v>
                </c:pt>
                <c:pt idx="11">
                  <c:v>-93.04453507300147</c:v>
                </c:pt>
                <c:pt idx="12">
                  <c:v>-103.384362373843</c:v>
                </c:pt>
                <c:pt idx="13">
                  <c:v>-114.01415451707443</c:v>
                </c:pt>
                <c:pt idx="14">
                  <c:v>-114.23617585168948</c:v>
                </c:pt>
                <c:pt idx="15">
                  <c:v>-112.95962199329547</c:v>
                </c:pt>
                <c:pt idx="16">
                  <c:v>-54.328796277969943</c:v>
                </c:pt>
                <c:pt idx="17">
                  <c:v>-2.2037956853128127</c:v>
                </c:pt>
                <c:pt idx="18">
                  <c:v>80.037787066954095</c:v>
                </c:pt>
                <c:pt idx="19">
                  <c:v>135.13912543953592</c:v>
                </c:pt>
                <c:pt idx="20">
                  <c:v>165.60757435574158</c:v>
                </c:pt>
                <c:pt idx="21">
                  <c:v>173.70200944160968</c:v>
                </c:pt>
                <c:pt idx="22">
                  <c:v>161.37433575146332</c:v>
                </c:pt>
                <c:pt idx="23">
                  <c:v>130.25352138251816</c:v>
                </c:pt>
                <c:pt idx="24">
                  <c:v>81.668459624631197</c:v>
                </c:pt>
                <c:pt idx="25">
                  <c:v>16.706563405325614</c:v>
                </c:pt>
                <c:pt idx="26">
                  <c:v>-21.619968393809987</c:v>
                </c:pt>
                <c:pt idx="27">
                  <c:v>-62.816955236174131</c:v>
                </c:pt>
                <c:pt idx="28">
                  <c:v>-63.694446470688135</c:v>
                </c:pt>
                <c:pt idx="29">
                  <c:v>-63.073391538689521</c:v>
                </c:pt>
                <c:pt idx="30">
                  <c:v>-34.402952313483695</c:v>
                </c:pt>
                <c:pt idx="31">
                  <c:v>-8.6260207284979167</c:v>
                </c:pt>
                <c:pt idx="32">
                  <c:v>32.879395774153082</c:v>
                </c:pt>
                <c:pt idx="33">
                  <c:v>61.807631920738537</c:v>
                </c:pt>
                <c:pt idx="34">
                  <c:v>79.086142359690101</c:v>
                </c:pt>
                <c:pt idx="35">
                  <c:v>85.528857731718261</c:v>
                </c:pt>
                <c:pt idx="36">
                  <c:v>81.803162166180272</c:v>
                </c:pt>
                <c:pt idx="37">
                  <c:v>68.417465025500192</c:v>
                </c:pt>
                <c:pt idx="38">
                  <c:v>45.728105264195378</c:v>
                </c:pt>
                <c:pt idx="39">
                  <c:v>13.964622123060456</c:v>
                </c:pt>
                <c:pt idx="40">
                  <c:v>-5.2726408054928875</c:v>
                </c:pt>
                <c:pt idx="41">
                  <c:v>-26.276561551103352</c:v>
                </c:pt>
                <c:pt idx="42">
                  <c:v>-26.727291554285877</c:v>
                </c:pt>
                <c:pt idx="43">
                  <c:v>-26.727291554285877</c:v>
                </c:pt>
                <c:pt idx="44">
                  <c:v>-26.727291554285877</c:v>
                </c:pt>
                <c:pt idx="45">
                  <c:v>-26.727291554285877</c:v>
                </c:pt>
                <c:pt idx="46">
                  <c:v>-26.727291554285877</c:v>
                </c:pt>
                <c:pt idx="47">
                  <c:v>-26.727291554285877</c:v>
                </c:pt>
                <c:pt idx="48">
                  <c:v>-26.727291554285877</c:v>
                </c:pt>
                <c:pt idx="49">
                  <c:v>-26.727291554285877</c:v>
                </c:pt>
                <c:pt idx="50">
                  <c:v>-26.727291554285877</c:v>
                </c:pt>
                <c:pt idx="51">
                  <c:v>-26.727291554285877</c:v>
                </c:pt>
                <c:pt idx="52">
                  <c:v>-26.727291554285877</c:v>
                </c:pt>
                <c:pt idx="53">
                  <c:v>-26.727291554285877</c:v>
                </c:pt>
                <c:pt idx="54">
                  <c:v>-26.727291554285877</c:v>
                </c:pt>
                <c:pt idx="55">
                  <c:v>-26.727291554285877</c:v>
                </c:pt>
                <c:pt idx="56">
                  <c:v>-26.727291554285877</c:v>
                </c:pt>
                <c:pt idx="57">
                  <c:v>-26.727291554285877</c:v>
                </c:pt>
                <c:pt idx="58">
                  <c:v>-26.727291554285877</c:v>
                </c:pt>
                <c:pt idx="59">
                  <c:v>-26.727291554285877</c:v>
                </c:pt>
                <c:pt idx="60">
                  <c:v>-26.727291554285877</c:v>
                </c:pt>
                <c:pt idx="61">
                  <c:v>-26.727291554285877</c:v>
                </c:pt>
                <c:pt idx="62">
                  <c:v>-26.727291554285877</c:v>
                </c:pt>
                <c:pt idx="63">
                  <c:v>-26.727291554285877</c:v>
                </c:pt>
                <c:pt idx="64">
                  <c:v>-26.727291554285877</c:v>
                </c:pt>
                <c:pt idx="65">
                  <c:v>-26.727291554285877</c:v>
                </c:pt>
                <c:pt idx="66">
                  <c:v>-26.727291554285877</c:v>
                </c:pt>
                <c:pt idx="67">
                  <c:v>-26.727291554285877</c:v>
                </c:pt>
                <c:pt idx="68">
                  <c:v>-26.727291554285877</c:v>
                </c:pt>
                <c:pt idx="69">
                  <c:v>-26.727291554285877</c:v>
                </c:pt>
                <c:pt idx="70">
                  <c:v>-26.727291554285877</c:v>
                </c:pt>
                <c:pt idx="71">
                  <c:v>-26.727291554285877</c:v>
                </c:pt>
                <c:pt idx="72">
                  <c:v>-26.727291554285877</c:v>
                </c:pt>
                <c:pt idx="73">
                  <c:v>-26.727291554285877</c:v>
                </c:pt>
                <c:pt idx="74">
                  <c:v>-26.727291554285877</c:v>
                </c:pt>
                <c:pt idx="75">
                  <c:v>-26.727291554285877</c:v>
                </c:pt>
                <c:pt idx="76">
                  <c:v>-26.727291554285877</c:v>
                </c:pt>
                <c:pt idx="77">
                  <c:v>-26.727291554285877</c:v>
                </c:pt>
                <c:pt idx="78">
                  <c:v>-26.727291554285877</c:v>
                </c:pt>
                <c:pt idx="79">
                  <c:v>-26.727291554285877</c:v>
                </c:pt>
                <c:pt idx="80">
                  <c:v>-26.727291554285877</c:v>
                </c:pt>
                <c:pt idx="81">
                  <c:v>-26.727291554285877</c:v>
                </c:pt>
                <c:pt idx="82">
                  <c:v>-26.727291554285877</c:v>
                </c:pt>
                <c:pt idx="83">
                  <c:v>-26.727291554285877</c:v>
                </c:pt>
                <c:pt idx="84">
                  <c:v>-26.727291554285877</c:v>
                </c:pt>
                <c:pt idx="85">
                  <c:v>-26.727291554285877</c:v>
                </c:pt>
                <c:pt idx="86">
                  <c:v>-26.727291554285877</c:v>
                </c:pt>
                <c:pt idx="87">
                  <c:v>-26.727291554285877</c:v>
                </c:pt>
                <c:pt idx="88">
                  <c:v>-26.727291554285877</c:v>
                </c:pt>
                <c:pt idx="89">
                  <c:v>-26.727291554285877</c:v>
                </c:pt>
                <c:pt idx="90">
                  <c:v>-26.727291554285877</c:v>
                </c:pt>
                <c:pt idx="91">
                  <c:v>-26.727291554285877</c:v>
                </c:pt>
                <c:pt idx="92">
                  <c:v>-26.727291554285877</c:v>
                </c:pt>
                <c:pt idx="93">
                  <c:v>-26.727291554285877</c:v>
                </c:pt>
                <c:pt idx="94">
                  <c:v>-26.727291554285877</c:v>
                </c:pt>
                <c:pt idx="95">
                  <c:v>-26.727291554285877</c:v>
                </c:pt>
                <c:pt idx="96">
                  <c:v>-26.727291554285877</c:v>
                </c:pt>
                <c:pt idx="97">
                  <c:v>-26.727291554285877</c:v>
                </c:pt>
                <c:pt idx="98">
                  <c:v>-26.727291554285877</c:v>
                </c:pt>
                <c:pt idx="99">
                  <c:v>-26.673445060057063</c:v>
                </c:pt>
                <c:pt idx="100">
                  <c:v>-24.102381557043945</c:v>
                </c:pt>
                <c:pt idx="101">
                  <c:v>-21.614882522546566</c:v>
                </c:pt>
                <c:pt idx="102">
                  <c:v>-17.051043937937351</c:v>
                </c:pt>
                <c:pt idx="103">
                  <c:v>-13.033535283564181</c:v>
                </c:pt>
                <c:pt idx="104">
                  <c:v>-9.5599890640211527</c:v>
                </c:pt>
                <c:pt idx="105">
                  <c:v>-6.6279405676369265</c:v>
                </c:pt>
                <c:pt idx="106">
                  <c:v>-4.2348535994899548</c:v>
                </c:pt>
                <c:pt idx="107">
                  <c:v>-2.3781422034175685</c:v>
                </c:pt>
                <c:pt idx="108">
                  <c:v>-1.0551883917786984</c:v>
                </c:pt>
                <c:pt idx="109">
                  <c:v>-0.26335590210408277</c:v>
                </c:pt>
                <c:pt idx="110">
                  <c:v>-6.5783817162117841E-2</c:v>
                </c:pt>
                <c:pt idx="111">
                  <c:v>-2.6291912955693997E-5</c:v>
                </c:pt>
                <c:pt idx="112">
                  <c:v>-8.5860338834244647E-12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'Erweiterte Anwendung'!$P$2:$P$3</c:f>
              <c:strCache>
                <c:ptCount val="1"/>
                <c:pt idx="0">
                  <c:v>LK 3 F2 Max</c:v>
                </c:pt>
              </c:strCache>
            </c:strRef>
          </c:tx>
          <c:marker>
            <c:symbol val="none"/>
          </c:marker>
          <c:xVal>
            <c:numRef>
              <c:f>'Erweiterte Anwendung'!$M$4:$M$760</c:f>
              <c:numCache>
                <c:formatCode>General</c:formatCode>
                <c:ptCount val="757"/>
                <c:pt idx="0">
                  <c:v>0</c:v>
                </c:pt>
                <c:pt idx="1">
                  <c:v>1E-3</c:v>
                </c:pt>
                <c:pt idx="2">
                  <c:v>0.05</c:v>
                </c:pt>
                <c:pt idx="3">
                  <c:v>0.1</c:v>
                </c:pt>
                <c:pt idx="4">
                  <c:v>0.2</c:v>
                </c:pt>
                <c:pt idx="5">
                  <c:v>0.30000000000000004</c:v>
                </c:pt>
                <c:pt idx="6">
                  <c:v>0.4</c:v>
                </c:pt>
                <c:pt idx="7">
                  <c:v>0.5</c:v>
                </c:pt>
                <c:pt idx="8">
                  <c:v>0.60000000000000009</c:v>
                </c:pt>
                <c:pt idx="9">
                  <c:v>0.70000000000000007</c:v>
                </c:pt>
                <c:pt idx="10">
                  <c:v>0.8</c:v>
                </c:pt>
                <c:pt idx="11">
                  <c:v>0.9</c:v>
                </c:pt>
                <c:pt idx="12">
                  <c:v>0.95000000000000007</c:v>
                </c:pt>
                <c:pt idx="13">
                  <c:v>0.99900000000000011</c:v>
                </c:pt>
                <c:pt idx="14">
                  <c:v>1</c:v>
                </c:pt>
                <c:pt idx="15">
                  <c:v>1.004</c:v>
                </c:pt>
                <c:pt idx="16">
                  <c:v>1.2</c:v>
                </c:pt>
                <c:pt idx="17">
                  <c:v>1.4</c:v>
                </c:pt>
                <c:pt idx="18">
                  <c:v>1.8</c:v>
                </c:pt>
                <c:pt idx="19">
                  <c:v>2.2000000000000002</c:v>
                </c:pt>
                <c:pt idx="20">
                  <c:v>2.6</c:v>
                </c:pt>
                <c:pt idx="21">
                  <c:v>3</c:v>
                </c:pt>
                <c:pt idx="22">
                  <c:v>3.4000000000000004</c:v>
                </c:pt>
                <c:pt idx="23">
                  <c:v>3.8000000000000003</c:v>
                </c:pt>
                <c:pt idx="24">
                  <c:v>4.2</c:v>
                </c:pt>
                <c:pt idx="25">
                  <c:v>4.5999999999999996</c:v>
                </c:pt>
                <c:pt idx="26">
                  <c:v>4.8000000000000007</c:v>
                </c:pt>
                <c:pt idx="27">
                  <c:v>4.9960000000000004</c:v>
                </c:pt>
                <c:pt idx="28">
                  <c:v>5</c:v>
                </c:pt>
                <c:pt idx="29">
                  <c:v>5.0039999999999996</c:v>
                </c:pt>
                <c:pt idx="30">
                  <c:v>5.2</c:v>
                </c:pt>
                <c:pt idx="31">
                  <c:v>5.4</c:v>
                </c:pt>
                <c:pt idx="32">
                  <c:v>5.8</c:v>
                </c:pt>
                <c:pt idx="33">
                  <c:v>6.2</c:v>
                </c:pt>
                <c:pt idx="34">
                  <c:v>6.6</c:v>
                </c:pt>
                <c:pt idx="35">
                  <c:v>7</c:v>
                </c:pt>
                <c:pt idx="36">
                  <c:v>7.4</c:v>
                </c:pt>
                <c:pt idx="37">
                  <c:v>7.8000000000000007</c:v>
                </c:pt>
                <c:pt idx="38">
                  <c:v>8.1999999999999993</c:v>
                </c:pt>
                <c:pt idx="39">
                  <c:v>8.6</c:v>
                </c:pt>
                <c:pt idx="40">
                  <c:v>8.8000000000000007</c:v>
                </c:pt>
                <c:pt idx="41">
                  <c:v>8.9960000000000004</c:v>
                </c:pt>
                <c:pt idx="42">
                  <c:v>9</c:v>
                </c:pt>
                <c:pt idx="43">
                  <c:v>9</c:v>
                </c:pt>
                <c:pt idx="44">
                  <c:v>9</c:v>
                </c:pt>
                <c:pt idx="45">
                  <c:v>9</c:v>
                </c:pt>
                <c:pt idx="46">
                  <c:v>9</c:v>
                </c:pt>
                <c:pt idx="47">
                  <c:v>9</c:v>
                </c:pt>
                <c:pt idx="48">
                  <c:v>9</c:v>
                </c:pt>
                <c:pt idx="49">
                  <c:v>9</c:v>
                </c:pt>
                <c:pt idx="50">
                  <c:v>9</c:v>
                </c:pt>
                <c:pt idx="51">
                  <c:v>9</c:v>
                </c:pt>
                <c:pt idx="52">
                  <c:v>9</c:v>
                </c:pt>
                <c:pt idx="53">
                  <c:v>9</c:v>
                </c:pt>
                <c:pt idx="54">
                  <c:v>9</c:v>
                </c:pt>
                <c:pt idx="55">
                  <c:v>9</c:v>
                </c:pt>
                <c:pt idx="56">
                  <c:v>9</c:v>
                </c:pt>
                <c:pt idx="57">
                  <c:v>9</c:v>
                </c:pt>
                <c:pt idx="58">
                  <c:v>9</c:v>
                </c:pt>
                <c:pt idx="59">
                  <c:v>9</c:v>
                </c:pt>
                <c:pt idx="60">
                  <c:v>9</c:v>
                </c:pt>
                <c:pt idx="61">
                  <c:v>9</c:v>
                </c:pt>
                <c:pt idx="62">
                  <c:v>9</c:v>
                </c:pt>
                <c:pt idx="63">
                  <c:v>9</c:v>
                </c:pt>
                <c:pt idx="64">
                  <c:v>9</c:v>
                </c:pt>
                <c:pt idx="65">
                  <c:v>9</c:v>
                </c:pt>
                <c:pt idx="66">
                  <c:v>9</c:v>
                </c:pt>
                <c:pt idx="67">
                  <c:v>9</c:v>
                </c:pt>
                <c:pt idx="68">
                  <c:v>9</c:v>
                </c:pt>
                <c:pt idx="69">
                  <c:v>9</c:v>
                </c:pt>
                <c:pt idx="70">
                  <c:v>9</c:v>
                </c:pt>
                <c:pt idx="71">
                  <c:v>9</c:v>
                </c:pt>
                <c:pt idx="72">
                  <c:v>9</c:v>
                </c:pt>
                <c:pt idx="73">
                  <c:v>9</c:v>
                </c:pt>
                <c:pt idx="74">
                  <c:v>9</c:v>
                </c:pt>
                <c:pt idx="75">
                  <c:v>9</c:v>
                </c:pt>
                <c:pt idx="76">
                  <c:v>9</c:v>
                </c:pt>
                <c:pt idx="77">
                  <c:v>9</c:v>
                </c:pt>
                <c:pt idx="78">
                  <c:v>9</c:v>
                </c:pt>
                <c:pt idx="79">
                  <c:v>9</c:v>
                </c:pt>
                <c:pt idx="80">
                  <c:v>9</c:v>
                </c:pt>
                <c:pt idx="81">
                  <c:v>9</c:v>
                </c:pt>
                <c:pt idx="82">
                  <c:v>9</c:v>
                </c:pt>
                <c:pt idx="83">
                  <c:v>9</c:v>
                </c:pt>
                <c:pt idx="84">
                  <c:v>9</c:v>
                </c:pt>
                <c:pt idx="85">
                  <c:v>9</c:v>
                </c:pt>
                <c:pt idx="86">
                  <c:v>9</c:v>
                </c:pt>
                <c:pt idx="87">
                  <c:v>9</c:v>
                </c:pt>
                <c:pt idx="88">
                  <c:v>9</c:v>
                </c:pt>
                <c:pt idx="89">
                  <c:v>9</c:v>
                </c:pt>
                <c:pt idx="90">
                  <c:v>9</c:v>
                </c:pt>
                <c:pt idx="91">
                  <c:v>9</c:v>
                </c:pt>
                <c:pt idx="92">
                  <c:v>9</c:v>
                </c:pt>
                <c:pt idx="93">
                  <c:v>9</c:v>
                </c:pt>
                <c:pt idx="94">
                  <c:v>9</c:v>
                </c:pt>
                <c:pt idx="95">
                  <c:v>9</c:v>
                </c:pt>
                <c:pt idx="96">
                  <c:v>9</c:v>
                </c:pt>
                <c:pt idx="97">
                  <c:v>9</c:v>
                </c:pt>
                <c:pt idx="98">
                  <c:v>9</c:v>
                </c:pt>
                <c:pt idx="99">
                  <c:v>9.0009999999999994</c:v>
                </c:pt>
                <c:pt idx="100">
                  <c:v>9.0500000000000007</c:v>
                </c:pt>
                <c:pt idx="101">
                  <c:v>9.1</c:v>
                </c:pt>
                <c:pt idx="102">
                  <c:v>9.1999999999999993</c:v>
                </c:pt>
                <c:pt idx="103">
                  <c:v>9.3000000000000007</c:v>
                </c:pt>
                <c:pt idx="104">
                  <c:v>9.4</c:v>
                </c:pt>
                <c:pt idx="105">
                  <c:v>9.5</c:v>
                </c:pt>
                <c:pt idx="106">
                  <c:v>9.6</c:v>
                </c:pt>
                <c:pt idx="107">
                  <c:v>9.6999999999999993</c:v>
                </c:pt>
                <c:pt idx="108">
                  <c:v>9.8000000000000007</c:v>
                </c:pt>
                <c:pt idx="109">
                  <c:v>9.9</c:v>
                </c:pt>
                <c:pt idx="110">
                  <c:v>9.9499999999999993</c:v>
                </c:pt>
                <c:pt idx="111">
                  <c:v>9.9990000000000006</c:v>
                </c:pt>
                <c:pt idx="112">
                  <c:v>10</c:v>
                </c:pt>
              </c:numCache>
            </c:numRef>
          </c:xVal>
          <c:yVal>
            <c:numRef>
              <c:f>'Erweiterte Anwendung'!$P$4:$P$760</c:f>
              <c:numCache>
                <c:formatCode>0</c:formatCode>
                <c:ptCount val="757"/>
                <c:pt idx="0">
                  <c:v>-3.9580393380890676E-14</c:v>
                </c:pt>
                <c:pt idx="1">
                  <c:v>-4.9290354184349212E-5</c:v>
                </c:pt>
                <c:pt idx="2">
                  <c:v>-0.12314610869148535</c:v>
                </c:pt>
                <c:pt idx="3">
                  <c:v>-0.49225880691413976</c:v>
                </c:pt>
                <c:pt idx="4">
                  <c:v>-1.9664296730459268</c:v>
                </c:pt>
                <c:pt idx="5">
                  <c:v>-4.4185997118018987</c:v>
                </c:pt>
                <c:pt idx="6">
                  <c:v>-7.8448402630363159</c:v>
                </c:pt>
                <c:pt idx="7">
                  <c:v>-12.241188733678651</c:v>
                </c:pt>
                <c:pt idx="8">
                  <c:v>-17.603623223065782</c:v>
                </c:pt>
                <c:pt idx="9">
                  <c:v>-23.928029962362793</c:v>
                </c:pt>
                <c:pt idx="10">
                  <c:v>-31.210163597904312</c:v>
                </c:pt>
                <c:pt idx="11">
                  <c:v>-39.445600348977983</c:v>
                </c:pt>
                <c:pt idx="12">
                  <c:v>-43.919363044301413</c:v>
                </c:pt>
                <c:pt idx="13">
                  <c:v>-48.533163407735998</c:v>
                </c:pt>
                <c:pt idx="14">
                  <c:v>-48.629684071554408</c:v>
                </c:pt>
                <c:pt idx="15">
                  <c:v>-48.016710403170308</c:v>
                </c:pt>
                <c:pt idx="16">
                  <c:v>-19.823682409651006</c:v>
                </c:pt>
                <c:pt idx="17">
                  <c:v>5.2507989827719479</c:v>
                </c:pt>
                <c:pt idx="18">
                  <c:v>44.385977036347732</c:v>
                </c:pt>
                <c:pt idx="19">
                  <c:v>69.11712408208021</c:v>
                </c:pt>
                <c:pt idx="20">
                  <c:v>79.705897307305477</c:v>
                </c:pt>
                <c:pt idx="21">
                  <c:v>76.287356691226961</c:v>
                </c:pt>
                <c:pt idx="22">
                  <c:v>58.849842815007115</c:v>
                </c:pt>
                <c:pt idx="23">
                  <c:v>27.241463129697738</c:v>
                </c:pt>
                <c:pt idx="24">
                  <c:v>-18.79679325819847</c:v>
                </c:pt>
                <c:pt idx="25">
                  <c:v>-79.571034715394191</c:v>
                </c:pt>
                <c:pt idx="26">
                  <c:v>-115.57174900675274</c:v>
                </c:pt>
                <c:pt idx="27">
                  <c:v>-154.5144914278462</c:v>
                </c:pt>
                <c:pt idx="28">
                  <c:v>-155.34706793155871</c:v>
                </c:pt>
                <c:pt idx="29">
                  <c:v>-154.51449142784617</c:v>
                </c:pt>
                <c:pt idx="30">
                  <c:v>-115.57174900675302</c:v>
                </c:pt>
                <c:pt idx="31">
                  <c:v>-79.571034715395086</c:v>
                </c:pt>
                <c:pt idx="32">
                  <c:v>-18.796793258200378</c:v>
                </c:pt>
                <c:pt idx="33">
                  <c:v>27.241463129694857</c:v>
                </c:pt>
                <c:pt idx="34">
                  <c:v>58.849842815003363</c:v>
                </c:pt>
                <c:pt idx="35">
                  <c:v>76.287356691222357</c:v>
                </c:pt>
                <c:pt idx="36">
                  <c:v>79.705897307300205</c:v>
                </c:pt>
                <c:pt idx="37">
                  <c:v>69.117124082074326</c:v>
                </c:pt>
                <c:pt idx="38">
                  <c:v>44.385977036341579</c:v>
                </c:pt>
                <c:pt idx="39">
                  <c:v>5.2507989827657013</c:v>
                </c:pt>
                <c:pt idx="40">
                  <c:v>-19.823682409657327</c:v>
                </c:pt>
                <c:pt idx="41">
                  <c:v>-48.016710403176425</c:v>
                </c:pt>
                <c:pt idx="42">
                  <c:v>-48.629684071560341</c:v>
                </c:pt>
                <c:pt idx="43">
                  <c:v>-48.629684071560341</c:v>
                </c:pt>
                <c:pt idx="44">
                  <c:v>-48.629684071560341</c:v>
                </c:pt>
                <c:pt idx="45">
                  <c:v>-48.629684071560341</c:v>
                </c:pt>
                <c:pt idx="46">
                  <c:v>-48.629684071560341</c:v>
                </c:pt>
                <c:pt idx="47">
                  <c:v>-48.629684071560341</c:v>
                </c:pt>
                <c:pt idx="48">
                  <c:v>-48.629684071560341</c:v>
                </c:pt>
                <c:pt idx="49">
                  <c:v>-48.629684071560341</c:v>
                </c:pt>
                <c:pt idx="50">
                  <c:v>-48.629684071560341</c:v>
                </c:pt>
                <c:pt idx="51">
                  <c:v>-48.629684071560341</c:v>
                </c:pt>
                <c:pt idx="52">
                  <c:v>-48.629684071560341</c:v>
                </c:pt>
                <c:pt idx="53">
                  <c:v>-48.629684071560341</c:v>
                </c:pt>
                <c:pt idx="54">
                  <c:v>-48.629684071560341</c:v>
                </c:pt>
                <c:pt idx="55">
                  <c:v>-48.629684071560341</c:v>
                </c:pt>
                <c:pt idx="56">
                  <c:v>-48.629684071560341</c:v>
                </c:pt>
                <c:pt idx="57">
                  <c:v>-48.629684071560341</c:v>
                </c:pt>
                <c:pt idx="58">
                  <c:v>-48.629684071560341</c:v>
                </c:pt>
                <c:pt idx="59">
                  <c:v>-48.629684071560341</c:v>
                </c:pt>
                <c:pt idx="60">
                  <c:v>-48.629684071560341</c:v>
                </c:pt>
                <c:pt idx="61">
                  <c:v>-48.629684071560341</c:v>
                </c:pt>
                <c:pt idx="62">
                  <c:v>-48.629684071560341</c:v>
                </c:pt>
                <c:pt idx="63">
                  <c:v>-48.629684071560341</c:v>
                </c:pt>
                <c:pt idx="64">
                  <c:v>-48.629684071560341</c:v>
                </c:pt>
                <c:pt idx="65">
                  <c:v>-48.629684071560341</c:v>
                </c:pt>
                <c:pt idx="66">
                  <c:v>-48.629684071560341</c:v>
                </c:pt>
                <c:pt idx="67">
                  <c:v>-48.629684071560341</c:v>
                </c:pt>
                <c:pt idx="68">
                  <c:v>-48.629684071560341</c:v>
                </c:pt>
                <c:pt idx="69">
                  <c:v>-48.629684071560341</c:v>
                </c:pt>
                <c:pt idx="70">
                  <c:v>-48.629684071560341</c:v>
                </c:pt>
                <c:pt idx="71">
                  <c:v>-48.629684071560341</c:v>
                </c:pt>
                <c:pt idx="72">
                  <c:v>-48.629684071560341</c:v>
                </c:pt>
                <c:pt idx="73">
                  <c:v>-48.629684071560341</c:v>
                </c:pt>
                <c:pt idx="74">
                  <c:v>-48.629684071560341</c:v>
                </c:pt>
                <c:pt idx="75">
                  <c:v>-48.629684071560341</c:v>
                </c:pt>
                <c:pt idx="76">
                  <c:v>-48.629684071560341</c:v>
                </c:pt>
                <c:pt idx="77">
                  <c:v>-48.629684071560341</c:v>
                </c:pt>
                <c:pt idx="78">
                  <c:v>-48.629684071560341</c:v>
                </c:pt>
                <c:pt idx="79">
                  <c:v>-48.629684071560341</c:v>
                </c:pt>
                <c:pt idx="80">
                  <c:v>-48.629684071560341</c:v>
                </c:pt>
                <c:pt idx="81">
                  <c:v>-48.629684071560341</c:v>
                </c:pt>
                <c:pt idx="82">
                  <c:v>-48.629684071560341</c:v>
                </c:pt>
                <c:pt idx="83">
                  <c:v>-48.629684071560341</c:v>
                </c:pt>
                <c:pt idx="84">
                  <c:v>-48.629684071560341</c:v>
                </c:pt>
                <c:pt idx="85">
                  <c:v>-48.629684071560341</c:v>
                </c:pt>
                <c:pt idx="86">
                  <c:v>-48.629684071560341</c:v>
                </c:pt>
                <c:pt idx="87">
                  <c:v>-48.629684071560341</c:v>
                </c:pt>
                <c:pt idx="88">
                  <c:v>-48.629684071560341</c:v>
                </c:pt>
                <c:pt idx="89">
                  <c:v>-48.629684071560341</c:v>
                </c:pt>
                <c:pt idx="90">
                  <c:v>-48.629684071560341</c:v>
                </c:pt>
                <c:pt idx="91">
                  <c:v>-48.629684071560341</c:v>
                </c:pt>
                <c:pt idx="92">
                  <c:v>-48.629684071560341</c:v>
                </c:pt>
                <c:pt idx="93">
                  <c:v>-48.629684071560341</c:v>
                </c:pt>
                <c:pt idx="94">
                  <c:v>-48.629684071560341</c:v>
                </c:pt>
                <c:pt idx="95">
                  <c:v>-48.629684071560341</c:v>
                </c:pt>
                <c:pt idx="96">
                  <c:v>-48.629684071560341</c:v>
                </c:pt>
                <c:pt idx="97">
                  <c:v>-48.629684071560341</c:v>
                </c:pt>
                <c:pt idx="98">
                  <c:v>-48.629684071560341</c:v>
                </c:pt>
                <c:pt idx="99">
                  <c:v>-48.533163407742016</c:v>
                </c:pt>
                <c:pt idx="100">
                  <c:v>-43.919363044307218</c:v>
                </c:pt>
                <c:pt idx="101">
                  <c:v>-39.445600348983831</c:v>
                </c:pt>
                <c:pt idx="102">
                  <c:v>-31.210163597910046</c:v>
                </c:pt>
                <c:pt idx="103">
                  <c:v>-23.928029962368274</c:v>
                </c:pt>
                <c:pt idx="104">
                  <c:v>-17.603623223071082</c:v>
                </c:pt>
                <c:pt idx="105">
                  <c:v>-12.241188733683748</c:v>
                </c:pt>
                <c:pt idx="106">
                  <c:v>-7.8448402630411609</c:v>
                </c:pt>
                <c:pt idx="107">
                  <c:v>-4.4185997118064648</c:v>
                </c:pt>
                <c:pt idx="108">
                  <c:v>-1.9664296730500772</c:v>
                </c:pt>
                <c:pt idx="109">
                  <c:v>-0.49225880691791596</c:v>
                </c:pt>
                <c:pt idx="110">
                  <c:v>-0.12314610869505185</c:v>
                </c:pt>
                <c:pt idx="111">
                  <c:v>-4.9290357572289246E-5</c:v>
                </c:pt>
                <c:pt idx="112">
                  <c:v>-3.3650416352692026E-12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'Erweiterte Anwendung'!$Q$2:$Q$3</c:f>
              <c:strCache>
                <c:ptCount val="1"/>
                <c:pt idx="0">
                  <c:v>LK 4 F3 Max</c:v>
                </c:pt>
              </c:strCache>
            </c:strRef>
          </c:tx>
          <c:marker>
            <c:symbol val="none"/>
          </c:marker>
          <c:xVal>
            <c:numRef>
              <c:f>'Erweiterte Anwendung'!$M$4:$M$760</c:f>
              <c:numCache>
                <c:formatCode>General</c:formatCode>
                <c:ptCount val="757"/>
                <c:pt idx="0">
                  <c:v>0</c:v>
                </c:pt>
                <c:pt idx="1">
                  <c:v>1E-3</c:v>
                </c:pt>
                <c:pt idx="2">
                  <c:v>0.05</c:v>
                </c:pt>
                <c:pt idx="3">
                  <c:v>0.1</c:v>
                </c:pt>
                <c:pt idx="4">
                  <c:v>0.2</c:v>
                </c:pt>
                <c:pt idx="5">
                  <c:v>0.30000000000000004</c:v>
                </c:pt>
                <c:pt idx="6">
                  <c:v>0.4</c:v>
                </c:pt>
                <c:pt idx="7">
                  <c:v>0.5</c:v>
                </c:pt>
                <c:pt idx="8">
                  <c:v>0.60000000000000009</c:v>
                </c:pt>
                <c:pt idx="9">
                  <c:v>0.70000000000000007</c:v>
                </c:pt>
                <c:pt idx="10">
                  <c:v>0.8</c:v>
                </c:pt>
                <c:pt idx="11">
                  <c:v>0.9</c:v>
                </c:pt>
                <c:pt idx="12">
                  <c:v>0.95000000000000007</c:v>
                </c:pt>
                <c:pt idx="13">
                  <c:v>0.99900000000000011</c:v>
                </c:pt>
                <c:pt idx="14">
                  <c:v>1</c:v>
                </c:pt>
                <c:pt idx="15">
                  <c:v>1.004</c:v>
                </c:pt>
                <c:pt idx="16">
                  <c:v>1.2</c:v>
                </c:pt>
                <c:pt idx="17">
                  <c:v>1.4</c:v>
                </c:pt>
                <c:pt idx="18">
                  <c:v>1.8</c:v>
                </c:pt>
                <c:pt idx="19">
                  <c:v>2.2000000000000002</c:v>
                </c:pt>
                <c:pt idx="20">
                  <c:v>2.6</c:v>
                </c:pt>
                <c:pt idx="21">
                  <c:v>3</c:v>
                </c:pt>
                <c:pt idx="22">
                  <c:v>3.4000000000000004</c:v>
                </c:pt>
                <c:pt idx="23">
                  <c:v>3.8000000000000003</c:v>
                </c:pt>
                <c:pt idx="24">
                  <c:v>4.2</c:v>
                </c:pt>
                <c:pt idx="25">
                  <c:v>4.5999999999999996</c:v>
                </c:pt>
                <c:pt idx="26">
                  <c:v>4.8000000000000007</c:v>
                </c:pt>
                <c:pt idx="27">
                  <c:v>4.9960000000000004</c:v>
                </c:pt>
                <c:pt idx="28">
                  <c:v>5</c:v>
                </c:pt>
                <c:pt idx="29">
                  <c:v>5.0039999999999996</c:v>
                </c:pt>
                <c:pt idx="30">
                  <c:v>5.2</c:v>
                </c:pt>
                <c:pt idx="31">
                  <c:v>5.4</c:v>
                </c:pt>
                <c:pt idx="32">
                  <c:v>5.8</c:v>
                </c:pt>
                <c:pt idx="33">
                  <c:v>6.2</c:v>
                </c:pt>
                <c:pt idx="34">
                  <c:v>6.6</c:v>
                </c:pt>
                <c:pt idx="35">
                  <c:v>7</c:v>
                </c:pt>
                <c:pt idx="36">
                  <c:v>7.4</c:v>
                </c:pt>
                <c:pt idx="37">
                  <c:v>7.8000000000000007</c:v>
                </c:pt>
                <c:pt idx="38">
                  <c:v>8.1999999999999993</c:v>
                </c:pt>
                <c:pt idx="39">
                  <c:v>8.6</c:v>
                </c:pt>
                <c:pt idx="40">
                  <c:v>8.8000000000000007</c:v>
                </c:pt>
                <c:pt idx="41">
                  <c:v>8.9960000000000004</c:v>
                </c:pt>
                <c:pt idx="42">
                  <c:v>9</c:v>
                </c:pt>
                <c:pt idx="43">
                  <c:v>9</c:v>
                </c:pt>
                <c:pt idx="44">
                  <c:v>9</c:v>
                </c:pt>
                <c:pt idx="45">
                  <c:v>9</c:v>
                </c:pt>
                <c:pt idx="46">
                  <c:v>9</c:v>
                </c:pt>
                <c:pt idx="47">
                  <c:v>9</c:v>
                </c:pt>
                <c:pt idx="48">
                  <c:v>9</c:v>
                </c:pt>
                <c:pt idx="49">
                  <c:v>9</c:v>
                </c:pt>
                <c:pt idx="50">
                  <c:v>9</c:v>
                </c:pt>
                <c:pt idx="51">
                  <c:v>9</c:v>
                </c:pt>
                <c:pt idx="52">
                  <c:v>9</c:v>
                </c:pt>
                <c:pt idx="53">
                  <c:v>9</c:v>
                </c:pt>
                <c:pt idx="54">
                  <c:v>9</c:v>
                </c:pt>
                <c:pt idx="55">
                  <c:v>9</c:v>
                </c:pt>
                <c:pt idx="56">
                  <c:v>9</c:v>
                </c:pt>
                <c:pt idx="57">
                  <c:v>9</c:v>
                </c:pt>
                <c:pt idx="58">
                  <c:v>9</c:v>
                </c:pt>
                <c:pt idx="59">
                  <c:v>9</c:v>
                </c:pt>
                <c:pt idx="60">
                  <c:v>9</c:v>
                </c:pt>
                <c:pt idx="61">
                  <c:v>9</c:v>
                </c:pt>
                <c:pt idx="62">
                  <c:v>9</c:v>
                </c:pt>
                <c:pt idx="63">
                  <c:v>9</c:v>
                </c:pt>
                <c:pt idx="64">
                  <c:v>9</c:v>
                </c:pt>
                <c:pt idx="65">
                  <c:v>9</c:v>
                </c:pt>
                <c:pt idx="66">
                  <c:v>9</c:v>
                </c:pt>
                <c:pt idx="67">
                  <c:v>9</c:v>
                </c:pt>
                <c:pt idx="68">
                  <c:v>9</c:v>
                </c:pt>
                <c:pt idx="69">
                  <c:v>9</c:v>
                </c:pt>
                <c:pt idx="70">
                  <c:v>9</c:v>
                </c:pt>
                <c:pt idx="71">
                  <c:v>9</c:v>
                </c:pt>
                <c:pt idx="72">
                  <c:v>9</c:v>
                </c:pt>
                <c:pt idx="73">
                  <c:v>9</c:v>
                </c:pt>
                <c:pt idx="74">
                  <c:v>9</c:v>
                </c:pt>
                <c:pt idx="75">
                  <c:v>9</c:v>
                </c:pt>
                <c:pt idx="76">
                  <c:v>9</c:v>
                </c:pt>
                <c:pt idx="77">
                  <c:v>9</c:v>
                </c:pt>
                <c:pt idx="78">
                  <c:v>9</c:v>
                </c:pt>
                <c:pt idx="79">
                  <c:v>9</c:v>
                </c:pt>
                <c:pt idx="80">
                  <c:v>9</c:v>
                </c:pt>
                <c:pt idx="81">
                  <c:v>9</c:v>
                </c:pt>
                <c:pt idx="82">
                  <c:v>9</c:v>
                </c:pt>
                <c:pt idx="83">
                  <c:v>9</c:v>
                </c:pt>
                <c:pt idx="84">
                  <c:v>9</c:v>
                </c:pt>
                <c:pt idx="85">
                  <c:v>9</c:v>
                </c:pt>
                <c:pt idx="86">
                  <c:v>9</c:v>
                </c:pt>
                <c:pt idx="87">
                  <c:v>9</c:v>
                </c:pt>
                <c:pt idx="88">
                  <c:v>9</c:v>
                </c:pt>
                <c:pt idx="89">
                  <c:v>9</c:v>
                </c:pt>
                <c:pt idx="90">
                  <c:v>9</c:v>
                </c:pt>
                <c:pt idx="91">
                  <c:v>9</c:v>
                </c:pt>
                <c:pt idx="92">
                  <c:v>9</c:v>
                </c:pt>
                <c:pt idx="93">
                  <c:v>9</c:v>
                </c:pt>
                <c:pt idx="94">
                  <c:v>9</c:v>
                </c:pt>
                <c:pt idx="95">
                  <c:v>9</c:v>
                </c:pt>
                <c:pt idx="96">
                  <c:v>9</c:v>
                </c:pt>
                <c:pt idx="97">
                  <c:v>9</c:v>
                </c:pt>
                <c:pt idx="98">
                  <c:v>9</c:v>
                </c:pt>
                <c:pt idx="99">
                  <c:v>9.0009999999999994</c:v>
                </c:pt>
                <c:pt idx="100">
                  <c:v>9.0500000000000007</c:v>
                </c:pt>
                <c:pt idx="101">
                  <c:v>9.1</c:v>
                </c:pt>
                <c:pt idx="102">
                  <c:v>9.1999999999999993</c:v>
                </c:pt>
                <c:pt idx="103">
                  <c:v>9.3000000000000007</c:v>
                </c:pt>
                <c:pt idx="104">
                  <c:v>9.4</c:v>
                </c:pt>
                <c:pt idx="105">
                  <c:v>9.5</c:v>
                </c:pt>
                <c:pt idx="106">
                  <c:v>9.6</c:v>
                </c:pt>
                <c:pt idx="107">
                  <c:v>9.6999999999999993</c:v>
                </c:pt>
                <c:pt idx="108">
                  <c:v>9.8000000000000007</c:v>
                </c:pt>
                <c:pt idx="109">
                  <c:v>9.9</c:v>
                </c:pt>
                <c:pt idx="110">
                  <c:v>9.9499999999999993</c:v>
                </c:pt>
                <c:pt idx="111">
                  <c:v>9.9990000000000006</c:v>
                </c:pt>
                <c:pt idx="112">
                  <c:v>10</c:v>
                </c:pt>
              </c:numCache>
            </c:numRef>
          </c:xVal>
          <c:yVal>
            <c:numRef>
              <c:f>'Erweiterte Anwendung'!$Q$4:$Q$760</c:f>
              <c:numCache>
                <c:formatCode>0</c:formatCode>
                <c:ptCount val="757"/>
                <c:pt idx="0">
                  <c:v>-3.1200051641199112E-14</c:v>
                </c:pt>
                <c:pt idx="1">
                  <c:v>-2.6291904354040425E-5</c:v>
                </c:pt>
                <c:pt idx="2">
                  <c:v>-6.5783817153385771E-2</c:v>
                </c:pt>
                <c:pt idx="3">
                  <c:v>-0.26335590209519932</c:v>
                </c:pt>
                <c:pt idx="4">
                  <c:v>-1.0551883917695568</c:v>
                </c:pt>
                <c:pt idx="5">
                  <c:v>-2.3781422034081632</c:v>
                </c:pt>
                <c:pt idx="6">
                  <c:v>-4.2348535994803873</c:v>
                </c:pt>
                <c:pt idx="7">
                  <c:v>-6.6279405676272347</c:v>
                </c:pt>
                <c:pt idx="8">
                  <c:v>-9.5599890640113792</c:v>
                </c:pt>
                <c:pt idx="9">
                  <c:v>-13.033535283554347</c:v>
                </c:pt>
                <c:pt idx="10">
                  <c:v>-17.051043937927439</c:v>
                </c:pt>
                <c:pt idx="11">
                  <c:v>-21.614882522536668</c:v>
                </c:pt>
                <c:pt idx="12">
                  <c:v>-24.102381557034121</c:v>
                </c:pt>
                <c:pt idx="13">
                  <c:v>-26.673445060047143</c:v>
                </c:pt>
                <c:pt idx="14">
                  <c:v>-26.727291554276025</c:v>
                </c:pt>
                <c:pt idx="15">
                  <c:v>-26.276561551093383</c:v>
                </c:pt>
                <c:pt idx="16">
                  <c:v>-5.2726408054830038</c:v>
                </c:pt>
                <c:pt idx="17">
                  <c:v>13.964622123070034</c:v>
                </c:pt>
                <c:pt idx="18">
                  <c:v>45.728105264204331</c:v>
                </c:pt>
                <c:pt idx="19">
                  <c:v>68.417465025508363</c:v>
                </c:pt>
                <c:pt idx="20">
                  <c:v>81.803162166187334</c:v>
                </c:pt>
                <c:pt idx="21">
                  <c:v>85.528857731724258</c:v>
                </c:pt>
                <c:pt idx="22">
                  <c:v>79.086142359694932</c:v>
                </c:pt>
                <c:pt idx="23">
                  <c:v>61.807631920742274</c:v>
                </c:pt>
                <c:pt idx="24">
                  <c:v>32.87939577415564</c:v>
                </c:pt>
                <c:pt idx="25">
                  <c:v>-8.6260207284965418</c:v>
                </c:pt>
                <c:pt idx="26">
                  <c:v>-34.402952313482942</c:v>
                </c:pt>
                <c:pt idx="27">
                  <c:v>-63.073391538689165</c:v>
                </c:pt>
                <c:pt idx="28">
                  <c:v>-63.694446470687751</c:v>
                </c:pt>
                <c:pt idx="29">
                  <c:v>-62.816955236173754</c:v>
                </c:pt>
                <c:pt idx="30">
                  <c:v>-21.619968393809923</c:v>
                </c:pt>
                <c:pt idx="31">
                  <c:v>16.706563405325028</c:v>
                </c:pt>
                <c:pt idx="32">
                  <c:v>81.668459624629634</c:v>
                </c:pt>
                <c:pt idx="33">
                  <c:v>130.25352138251569</c:v>
                </c:pt>
                <c:pt idx="34">
                  <c:v>161.37433575146008</c:v>
                </c:pt>
                <c:pt idx="35">
                  <c:v>173.70200944160567</c:v>
                </c:pt>
                <c:pt idx="36">
                  <c:v>165.60757435573703</c:v>
                </c:pt>
                <c:pt idx="37">
                  <c:v>135.13912543953089</c:v>
                </c:pt>
                <c:pt idx="38">
                  <c:v>80.037787066949022</c:v>
                </c:pt>
                <c:pt idx="39">
                  <c:v>-2.2037956853178198</c:v>
                </c:pt>
                <c:pt idx="40">
                  <c:v>-54.328796277975144</c:v>
                </c:pt>
                <c:pt idx="41">
                  <c:v>-112.9596219933004</c:v>
                </c:pt>
                <c:pt idx="42">
                  <c:v>-114.23617585169399</c:v>
                </c:pt>
                <c:pt idx="43">
                  <c:v>-114.23617585169399</c:v>
                </c:pt>
                <c:pt idx="44">
                  <c:v>-114.23617585169399</c:v>
                </c:pt>
                <c:pt idx="45">
                  <c:v>-114.23617585169399</c:v>
                </c:pt>
                <c:pt idx="46">
                  <c:v>-114.23617585169399</c:v>
                </c:pt>
                <c:pt idx="47">
                  <c:v>-114.23617585169399</c:v>
                </c:pt>
                <c:pt idx="48">
                  <c:v>-114.23617585169399</c:v>
                </c:pt>
                <c:pt idx="49">
                  <c:v>-114.23617585169399</c:v>
                </c:pt>
                <c:pt idx="50">
                  <c:v>-114.23617585169399</c:v>
                </c:pt>
                <c:pt idx="51">
                  <c:v>-114.23617585169399</c:v>
                </c:pt>
                <c:pt idx="52">
                  <c:v>-114.23617585169399</c:v>
                </c:pt>
                <c:pt idx="53">
                  <c:v>-114.23617585169399</c:v>
                </c:pt>
                <c:pt idx="54">
                  <c:v>-114.23617585169399</c:v>
                </c:pt>
                <c:pt idx="55">
                  <c:v>-114.23617585169399</c:v>
                </c:pt>
                <c:pt idx="56">
                  <c:v>-114.23617585169399</c:v>
                </c:pt>
                <c:pt idx="57">
                  <c:v>-114.23617585169399</c:v>
                </c:pt>
                <c:pt idx="58">
                  <c:v>-114.23617585169399</c:v>
                </c:pt>
                <c:pt idx="59">
                  <c:v>-114.23617585169399</c:v>
                </c:pt>
                <c:pt idx="60">
                  <c:v>-114.23617585169399</c:v>
                </c:pt>
                <c:pt idx="61">
                  <c:v>-114.23617585169399</c:v>
                </c:pt>
                <c:pt idx="62">
                  <c:v>-114.23617585169399</c:v>
                </c:pt>
                <c:pt idx="63">
                  <c:v>-114.23617585169399</c:v>
                </c:pt>
                <c:pt idx="64">
                  <c:v>-114.23617585169399</c:v>
                </c:pt>
                <c:pt idx="65">
                  <c:v>-114.23617585169399</c:v>
                </c:pt>
                <c:pt idx="66">
                  <c:v>-114.23617585169399</c:v>
                </c:pt>
                <c:pt idx="67">
                  <c:v>-114.23617585169399</c:v>
                </c:pt>
                <c:pt idx="68">
                  <c:v>-114.23617585169399</c:v>
                </c:pt>
                <c:pt idx="69">
                  <c:v>-114.23617585169399</c:v>
                </c:pt>
                <c:pt idx="70">
                  <c:v>-114.23617585169399</c:v>
                </c:pt>
                <c:pt idx="71">
                  <c:v>-114.23617585169399</c:v>
                </c:pt>
                <c:pt idx="72">
                  <c:v>-114.23617585169399</c:v>
                </c:pt>
                <c:pt idx="73">
                  <c:v>-114.23617585169399</c:v>
                </c:pt>
                <c:pt idx="74">
                  <c:v>-114.23617585169399</c:v>
                </c:pt>
                <c:pt idx="75">
                  <c:v>-114.23617585169399</c:v>
                </c:pt>
                <c:pt idx="76">
                  <c:v>-114.23617585169399</c:v>
                </c:pt>
                <c:pt idx="77">
                  <c:v>-114.23617585169399</c:v>
                </c:pt>
                <c:pt idx="78">
                  <c:v>-114.23617585169399</c:v>
                </c:pt>
                <c:pt idx="79">
                  <c:v>-114.23617585169399</c:v>
                </c:pt>
                <c:pt idx="80">
                  <c:v>-114.23617585169399</c:v>
                </c:pt>
                <c:pt idx="81">
                  <c:v>-114.23617585169399</c:v>
                </c:pt>
                <c:pt idx="82">
                  <c:v>-114.23617585169399</c:v>
                </c:pt>
                <c:pt idx="83">
                  <c:v>-114.23617585169399</c:v>
                </c:pt>
                <c:pt idx="84">
                  <c:v>-114.23617585169399</c:v>
                </c:pt>
                <c:pt idx="85">
                  <c:v>-114.23617585169399</c:v>
                </c:pt>
                <c:pt idx="86">
                  <c:v>-114.23617585169399</c:v>
                </c:pt>
                <c:pt idx="87">
                  <c:v>-114.23617585169399</c:v>
                </c:pt>
                <c:pt idx="88">
                  <c:v>-114.23617585169399</c:v>
                </c:pt>
                <c:pt idx="89">
                  <c:v>-114.23617585169399</c:v>
                </c:pt>
                <c:pt idx="90">
                  <c:v>-114.23617585169399</c:v>
                </c:pt>
                <c:pt idx="91">
                  <c:v>-114.23617585169399</c:v>
                </c:pt>
                <c:pt idx="92">
                  <c:v>-114.23617585169399</c:v>
                </c:pt>
                <c:pt idx="93">
                  <c:v>-114.23617585169399</c:v>
                </c:pt>
                <c:pt idx="94">
                  <c:v>-114.23617585169399</c:v>
                </c:pt>
                <c:pt idx="95">
                  <c:v>-114.23617585169399</c:v>
                </c:pt>
                <c:pt idx="96">
                  <c:v>-114.23617585169399</c:v>
                </c:pt>
                <c:pt idx="97">
                  <c:v>-114.23617585169399</c:v>
                </c:pt>
                <c:pt idx="98">
                  <c:v>-114.23617585169399</c:v>
                </c:pt>
                <c:pt idx="99">
                  <c:v>-114.01415451707911</c:v>
                </c:pt>
                <c:pt idx="100">
                  <c:v>-103.38436237384728</c:v>
                </c:pt>
                <c:pt idx="101">
                  <c:v>-93.044535073005903</c:v>
                </c:pt>
                <c:pt idx="102">
                  <c:v>-73.920692924131345</c:v>
                </c:pt>
                <c:pt idx="103">
                  <c:v>-56.90395312987696</c:v>
                </c:pt>
                <c:pt idx="104">
                  <c:v>-42.0330692529947</c:v>
                </c:pt>
                <c:pt idx="105">
                  <c:v>-29.34637069626303</c:v>
                </c:pt>
                <c:pt idx="106">
                  <c:v>-18.881872809863673</c:v>
                </c:pt>
                <c:pt idx="107">
                  <c:v>-10.677370819995044</c:v>
                </c:pt>
                <c:pt idx="108">
                  <c:v>-4.7705172970108265</c:v>
                </c:pt>
                <c:pt idx="109">
                  <c:v>-1.1988828830258074</c:v>
                </c:pt>
                <c:pt idx="110">
                  <c:v>-0.30050237512218081</c:v>
                </c:pt>
                <c:pt idx="111">
                  <c:v>-1.2050735854559331E-4</c:v>
                </c:pt>
                <c:pt idx="112">
                  <c:v>-1.9955442865594183E-12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'Erweiterte Anwendung'!$R$2:$R$3</c:f>
              <c:strCache>
                <c:ptCount val="1"/>
                <c:pt idx="0">
                  <c:v>LK 5 F rnd</c:v>
                </c:pt>
              </c:strCache>
            </c:strRef>
          </c:tx>
          <c:marker>
            <c:symbol val="none"/>
          </c:marker>
          <c:xVal>
            <c:numRef>
              <c:f>'Erweiterte Anwendung'!$M$4:$M$760</c:f>
              <c:numCache>
                <c:formatCode>General</c:formatCode>
                <c:ptCount val="757"/>
                <c:pt idx="0">
                  <c:v>0</c:v>
                </c:pt>
                <c:pt idx="1">
                  <c:v>1E-3</c:v>
                </c:pt>
                <c:pt idx="2">
                  <c:v>0.05</c:v>
                </c:pt>
                <c:pt idx="3">
                  <c:v>0.1</c:v>
                </c:pt>
                <c:pt idx="4">
                  <c:v>0.2</c:v>
                </c:pt>
                <c:pt idx="5">
                  <c:v>0.30000000000000004</c:v>
                </c:pt>
                <c:pt idx="6">
                  <c:v>0.4</c:v>
                </c:pt>
                <c:pt idx="7">
                  <c:v>0.5</c:v>
                </c:pt>
                <c:pt idx="8">
                  <c:v>0.60000000000000009</c:v>
                </c:pt>
                <c:pt idx="9">
                  <c:v>0.70000000000000007</c:v>
                </c:pt>
                <c:pt idx="10">
                  <c:v>0.8</c:v>
                </c:pt>
                <c:pt idx="11">
                  <c:v>0.9</c:v>
                </c:pt>
                <c:pt idx="12">
                  <c:v>0.95000000000000007</c:v>
                </c:pt>
                <c:pt idx="13">
                  <c:v>0.99900000000000011</c:v>
                </c:pt>
                <c:pt idx="14">
                  <c:v>1</c:v>
                </c:pt>
                <c:pt idx="15">
                  <c:v>1.004</c:v>
                </c:pt>
                <c:pt idx="16">
                  <c:v>1.2</c:v>
                </c:pt>
                <c:pt idx="17">
                  <c:v>1.4</c:v>
                </c:pt>
                <c:pt idx="18">
                  <c:v>1.8</c:v>
                </c:pt>
                <c:pt idx="19">
                  <c:v>2.2000000000000002</c:v>
                </c:pt>
                <c:pt idx="20">
                  <c:v>2.6</c:v>
                </c:pt>
                <c:pt idx="21">
                  <c:v>3</c:v>
                </c:pt>
                <c:pt idx="22">
                  <c:v>3.4000000000000004</c:v>
                </c:pt>
                <c:pt idx="23">
                  <c:v>3.8000000000000003</c:v>
                </c:pt>
                <c:pt idx="24">
                  <c:v>4.2</c:v>
                </c:pt>
                <c:pt idx="25">
                  <c:v>4.5999999999999996</c:v>
                </c:pt>
                <c:pt idx="26">
                  <c:v>4.8000000000000007</c:v>
                </c:pt>
                <c:pt idx="27">
                  <c:v>4.9960000000000004</c:v>
                </c:pt>
                <c:pt idx="28">
                  <c:v>5</c:v>
                </c:pt>
                <c:pt idx="29">
                  <c:v>5.0039999999999996</c:v>
                </c:pt>
                <c:pt idx="30">
                  <c:v>5.2</c:v>
                </c:pt>
                <c:pt idx="31">
                  <c:v>5.4</c:v>
                </c:pt>
                <c:pt idx="32">
                  <c:v>5.8</c:v>
                </c:pt>
                <c:pt idx="33">
                  <c:v>6.2</c:v>
                </c:pt>
                <c:pt idx="34">
                  <c:v>6.6</c:v>
                </c:pt>
                <c:pt idx="35">
                  <c:v>7</c:v>
                </c:pt>
                <c:pt idx="36">
                  <c:v>7.4</c:v>
                </c:pt>
                <c:pt idx="37">
                  <c:v>7.8000000000000007</c:v>
                </c:pt>
                <c:pt idx="38">
                  <c:v>8.1999999999999993</c:v>
                </c:pt>
                <c:pt idx="39">
                  <c:v>8.6</c:v>
                </c:pt>
                <c:pt idx="40">
                  <c:v>8.8000000000000007</c:v>
                </c:pt>
                <c:pt idx="41">
                  <c:v>8.9960000000000004</c:v>
                </c:pt>
                <c:pt idx="42">
                  <c:v>9</c:v>
                </c:pt>
                <c:pt idx="43">
                  <c:v>9</c:v>
                </c:pt>
                <c:pt idx="44">
                  <c:v>9</c:v>
                </c:pt>
                <c:pt idx="45">
                  <c:v>9</c:v>
                </c:pt>
                <c:pt idx="46">
                  <c:v>9</c:v>
                </c:pt>
                <c:pt idx="47">
                  <c:v>9</c:v>
                </c:pt>
                <c:pt idx="48">
                  <c:v>9</c:v>
                </c:pt>
                <c:pt idx="49">
                  <c:v>9</c:v>
                </c:pt>
                <c:pt idx="50">
                  <c:v>9</c:v>
                </c:pt>
                <c:pt idx="51">
                  <c:v>9</c:v>
                </c:pt>
                <c:pt idx="52">
                  <c:v>9</c:v>
                </c:pt>
                <c:pt idx="53">
                  <c:v>9</c:v>
                </c:pt>
                <c:pt idx="54">
                  <c:v>9</c:v>
                </c:pt>
                <c:pt idx="55">
                  <c:v>9</c:v>
                </c:pt>
                <c:pt idx="56">
                  <c:v>9</c:v>
                </c:pt>
                <c:pt idx="57">
                  <c:v>9</c:v>
                </c:pt>
                <c:pt idx="58">
                  <c:v>9</c:v>
                </c:pt>
                <c:pt idx="59">
                  <c:v>9</c:v>
                </c:pt>
                <c:pt idx="60">
                  <c:v>9</c:v>
                </c:pt>
                <c:pt idx="61">
                  <c:v>9</c:v>
                </c:pt>
                <c:pt idx="62">
                  <c:v>9</c:v>
                </c:pt>
                <c:pt idx="63">
                  <c:v>9</c:v>
                </c:pt>
                <c:pt idx="64">
                  <c:v>9</c:v>
                </c:pt>
                <c:pt idx="65">
                  <c:v>9</c:v>
                </c:pt>
                <c:pt idx="66">
                  <c:v>9</c:v>
                </c:pt>
                <c:pt idx="67">
                  <c:v>9</c:v>
                </c:pt>
                <c:pt idx="68">
                  <c:v>9</c:v>
                </c:pt>
                <c:pt idx="69">
                  <c:v>9</c:v>
                </c:pt>
                <c:pt idx="70">
                  <c:v>9</c:v>
                </c:pt>
                <c:pt idx="71">
                  <c:v>9</c:v>
                </c:pt>
                <c:pt idx="72">
                  <c:v>9</c:v>
                </c:pt>
                <c:pt idx="73">
                  <c:v>9</c:v>
                </c:pt>
                <c:pt idx="74">
                  <c:v>9</c:v>
                </c:pt>
                <c:pt idx="75">
                  <c:v>9</c:v>
                </c:pt>
                <c:pt idx="76">
                  <c:v>9</c:v>
                </c:pt>
                <c:pt idx="77">
                  <c:v>9</c:v>
                </c:pt>
                <c:pt idx="78">
                  <c:v>9</c:v>
                </c:pt>
                <c:pt idx="79">
                  <c:v>9</c:v>
                </c:pt>
                <c:pt idx="80">
                  <c:v>9</c:v>
                </c:pt>
                <c:pt idx="81">
                  <c:v>9</c:v>
                </c:pt>
                <c:pt idx="82">
                  <c:v>9</c:v>
                </c:pt>
                <c:pt idx="83">
                  <c:v>9</c:v>
                </c:pt>
                <c:pt idx="84">
                  <c:v>9</c:v>
                </c:pt>
                <c:pt idx="85">
                  <c:v>9</c:v>
                </c:pt>
                <c:pt idx="86">
                  <c:v>9</c:v>
                </c:pt>
                <c:pt idx="87">
                  <c:v>9</c:v>
                </c:pt>
                <c:pt idx="88">
                  <c:v>9</c:v>
                </c:pt>
                <c:pt idx="89">
                  <c:v>9</c:v>
                </c:pt>
                <c:pt idx="90">
                  <c:v>9</c:v>
                </c:pt>
                <c:pt idx="91">
                  <c:v>9</c:v>
                </c:pt>
                <c:pt idx="92">
                  <c:v>9</c:v>
                </c:pt>
                <c:pt idx="93">
                  <c:v>9</c:v>
                </c:pt>
                <c:pt idx="94">
                  <c:v>9</c:v>
                </c:pt>
                <c:pt idx="95">
                  <c:v>9</c:v>
                </c:pt>
                <c:pt idx="96">
                  <c:v>9</c:v>
                </c:pt>
                <c:pt idx="97">
                  <c:v>9</c:v>
                </c:pt>
                <c:pt idx="98">
                  <c:v>9</c:v>
                </c:pt>
                <c:pt idx="99">
                  <c:v>9.0009999999999994</c:v>
                </c:pt>
                <c:pt idx="100">
                  <c:v>9.0500000000000007</c:v>
                </c:pt>
                <c:pt idx="101">
                  <c:v>9.1</c:v>
                </c:pt>
                <c:pt idx="102">
                  <c:v>9.1999999999999993</c:v>
                </c:pt>
                <c:pt idx="103">
                  <c:v>9.3000000000000007</c:v>
                </c:pt>
                <c:pt idx="104">
                  <c:v>9.4</c:v>
                </c:pt>
                <c:pt idx="105">
                  <c:v>9.5</c:v>
                </c:pt>
                <c:pt idx="106">
                  <c:v>9.6</c:v>
                </c:pt>
                <c:pt idx="107">
                  <c:v>9.6999999999999993</c:v>
                </c:pt>
                <c:pt idx="108">
                  <c:v>9.8000000000000007</c:v>
                </c:pt>
                <c:pt idx="109">
                  <c:v>9.9</c:v>
                </c:pt>
                <c:pt idx="110">
                  <c:v>9.9499999999999993</c:v>
                </c:pt>
                <c:pt idx="111">
                  <c:v>9.9990000000000006</c:v>
                </c:pt>
                <c:pt idx="112">
                  <c:v>10</c:v>
                </c:pt>
              </c:numCache>
            </c:numRef>
          </c:xVal>
          <c:yVal>
            <c:numRef>
              <c:f>'Erweiterte Anwendung'!$R$4:$R$760</c:f>
              <c:numCache>
                <c:formatCode>0</c:formatCode>
                <c:ptCount val="757"/>
                <c:pt idx="0">
                  <c:v>-2.9036113633297523E-14</c:v>
                </c:pt>
                <c:pt idx="1">
                  <c:v>-9.228940716629166E-5</c:v>
                </c:pt>
                <c:pt idx="2">
                  <c:v>-0.22990085566290402</c:v>
                </c:pt>
                <c:pt idx="3">
                  <c:v>-0.91624560130603239</c:v>
                </c:pt>
                <c:pt idx="4">
                  <c:v>-3.6381188443182095</c:v>
                </c:pt>
                <c:pt idx="5">
                  <c:v>-8.1253159376793711</c:v>
                </c:pt>
                <c:pt idx="6">
                  <c:v>-14.33750396159148</c:v>
                </c:pt>
                <c:pt idx="7">
                  <c:v>-22.234287679111887</c:v>
                </c:pt>
                <c:pt idx="8">
                  <c:v>-31.77516356981603</c:v>
                </c:pt>
                <c:pt idx="9">
                  <c:v>-42.919461385107027</c:v>
                </c:pt>
                <c:pt idx="10">
                  <c:v>-55.626273525270307</c:v>
                </c:pt>
                <c:pt idx="11">
                  <c:v>-69.854372539622091</c:v>
                </c:pt>
                <c:pt idx="12">
                  <c:v>-77.525910668535161</c:v>
                </c:pt>
                <c:pt idx="13">
                  <c:v>-85.397853310600681</c:v>
                </c:pt>
                <c:pt idx="14">
                  <c:v>-85.562117052871287</c:v>
                </c:pt>
                <c:pt idx="15">
                  <c:v>-84.553942468441164</c:v>
                </c:pt>
                <c:pt idx="16">
                  <c:v>-37.914013411851819</c:v>
                </c:pt>
                <c:pt idx="17">
                  <c:v>4.3280012102892131</c:v>
                </c:pt>
                <c:pt idx="18">
                  <c:v>73.984610932825333</c:v>
                </c:pt>
                <c:pt idx="19">
                  <c:v>126.15935233774489</c:v>
                </c:pt>
                <c:pt idx="20">
                  <c:v>163.46909366230872</c:v>
                </c:pt>
                <c:pt idx="21">
                  <c:v>188.29616506990723</c:v>
                </c:pt>
                <c:pt idx="22">
                  <c:v>202.71685520630467</c:v>
                </c:pt>
                <c:pt idx="23">
                  <c:v>208.45367538308145</c:v>
                </c:pt>
                <c:pt idx="24">
                  <c:v>206.84746920629382</c:v>
                </c:pt>
                <c:pt idx="25">
                  <c:v>198.84611006465346</c:v>
                </c:pt>
                <c:pt idx="26">
                  <c:v>192.6364247216793</c:v>
                </c:pt>
                <c:pt idx="27">
                  <c:v>185.17363277867054</c:v>
                </c:pt>
                <c:pt idx="28">
                  <c:v>185.0072474059111</c:v>
                </c:pt>
                <c:pt idx="29">
                  <c:v>185.17363277867057</c:v>
                </c:pt>
                <c:pt idx="30">
                  <c:v>192.63642472167902</c:v>
                </c:pt>
                <c:pt idx="31">
                  <c:v>198.84611006465278</c:v>
                </c:pt>
                <c:pt idx="32">
                  <c:v>206.84746920629252</c:v>
                </c:pt>
                <c:pt idx="33">
                  <c:v>208.45367538307937</c:v>
                </c:pt>
                <c:pt idx="34">
                  <c:v>202.71685520630203</c:v>
                </c:pt>
                <c:pt idx="35">
                  <c:v>188.29616506990385</c:v>
                </c:pt>
                <c:pt idx="36">
                  <c:v>163.46909366230463</c:v>
                </c:pt>
                <c:pt idx="37">
                  <c:v>126.15935233774002</c:v>
                </c:pt>
                <c:pt idx="38">
                  <c:v>73.984610932819933</c:v>
                </c:pt>
                <c:pt idx="39">
                  <c:v>4.3280012102832135</c:v>
                </c:pt>
                <c:pt idx="40">
                  <c:v>-37.914013411858328</c:v>
                </c:pt>
                <c:pt idx="41">
                  <c:v>-84.5539424684479</c:v>
                </c:pt>
                <c:pt idx="42">
                  <c:v>-85.56211705287771</c:v>
                </c:pt>
                <c:pt idx="43">
                  <c:v>-85.56211705287771</c:v>
                </c:pt>
                <c:pt idx="44">
                  <c:v>-85.56211705287771</c:v>
                </c:pt>
                <c:pt idx="45">
                  <c:v>-85.56211705287771</c:v>
                </c:pt>
                <c:pt idx="46">
                  <c:v>-85.56211705287771</c:v>
                </c:pt>
                <c:pt idx="47">
                  <c:v>-85.56211705287771</c:v>
                </c:pt>
                <c:pt idx="48">
                  <c:v>-85.56211705287771</c:v>
                </c:pt>
                <c:pt idx="49">
                  <c:v>-85.56211705287771</c:v>
                </c:pt>
                <c:pt idx="50">
                  <c:v>-85.56211705287771</c:v>
                </c:pt>
                <c:pt idx="51">
                  <c:v>-85.56211705287771</c:v>
                </c:pt>
                <c:pt idx="52">
                  <c:v>-85.56211705287771</c:v>
                </c:pt>
                <c:pt idx="53">
                  <c:v>-85.56211705287771</c:v>
                </c:pt>
                <c:pt idx="54">
                  <c:v>-85.56211705287771</c:v>
                </c:pt>
                <c:pt idx="55">
                  <c:v>-85.56211705287771</c:v>
                </c:pt>
                <c:pt idx="56">
                  <c:v>-85.56211705287771</c:v>
                </c:pt>
                <c:pt idx="57">
                  <c:v>-85.56211705287771</c:v>
                </c:pt>
                <c:pt idx="58">
                  <c:v>-85.56211705287771</c:v>
                </c:pt>
                <c:pt idx="59">
                  <c:v>-85.56211705287771</c:v>
                </c:pt>
                <c:pt idx="60">
                  <c:v>-85.56211705287771</c:v>
                </c:pt>
                <c:pt idx="61">
                  <c:v>-85.56211705287771</c:v>
                </c:pt>
                <c:pt idx="62">
                  <c:v>-85.56211705287771</c:v>
                </c:pt>
                <c:pt idx="63">
                  <c:v>-85.56211705287771</c:v>
                </c:pt>
                <c:pt idx="64">
                  <c:v>-85.56211705287771</c:v>
                </c:pt>
                <c:pt idx="65">
                  <c:v>-85.56211705287771</c:v>
                </c:pt>
                <c:pt idx="66">
                  <c:v>-85.56211705287771</c:v>
                </c:pt>
                <c:pt idx="67">
                  <c:v>-85.56211705287771</c:v>
                </c:pt>
                <c:pt idx="68">
                  <c:v>-85.56211705287771</c:v>
                </c:pt>
                <c:pt idx="69">
                  <c:v>-85.56211705287771</c:v>
                </c:pt>
                <c:pt idx="70">
                  <c:v>-85.56211705287771</c:v>
                </c:pt>
                <c:pt idx="71">
                  <c:v>-85.56211705287771</c:v>
                </c:pt>
                <c:pt idx="72">
                  <c:v>-85.56211705287771</c:v>
                </c:pt>
                <c:pt idx="73">
                  <c:v>-85.56211705287771</c:v>
                </c:pt>
                <c:pt idx="74">
                  <c:v>-85.56211705287771</c:v>
                </c:pt>
                <c:pt idx="75">
                  <c:v>-85.56211705287771</c:v>
                </c:pt>
                <c:pt idx="76">
                  <c:v>-85.56211705287771</c:v>
                </c:pt>
                <c:pt idx="77">
                  <c:v>-85.56211705287771</c:v>
                </c:pt>
                <c:pt idx="78">
                  <c:v>-85.56211705287771</c:v>
                </c:pt>
                <c:pt idx="79">
                  <c:v>-85.56211705287771</c:v>
                </c:pt>
                <c:pt idx="80">
                  <c:v>-85.56211705287771</c:v>
                </c:pt>
                <c:pt idx="81">
                  <c:v>-85.56211705287771</c:v>
                </c:pt>
                <c:pt idx="82">
                  <c:v>-85.56211705287771</c:v>
                </c:pt>
                <c:pt idx="83">
                  <c:v>-85.56211705287771</c:v>
                </c:pt>
                <c:pt idx="84">
                  <c:v>-85.56211705287771</c:v>
                </c:pt>
                <c:pt idx="85">
                  <c:v>-85.56211705287771</c:v>
                </c:pt>
                <c:pt idx="86">
                  <c:v>-85.56211705287771</c:v>
                </c:pt>
                <c:pt idx="87">
                  <c:v>-85.56211705287771</c:v>
                </c:pt>
                <c:pt idx="88">
                  <c:v>-85.56211705287771</c:v>
                </c:pt>
                <c:pt idx="89">
                  <c:v>-85.56211705287771</c:v>
                </c:pt>
                <c:pt idx="90">
                  <c:v>-85.56211705287771</c:v>
                </c:pt>
                <c:pt idx="91">
                  <c:v>-85.56211705287771</c:v>
                </c:pt>
                <c:pt idx="92">
                  <c:v>-85.56211705287771</c:v>
                </c:pt>
                <c:pt idx="93">
                  <c:v>-85.56211705287771</c:v>
                </c:pt>
                <c:pt idx="94">
                  <c:v>-85.56211705287771</c:v>
                </c:pt>
                <c:pt idx="95">
                  <c:v>-85.56211705287771</c:v>
                </c:pt>
                <c:pt idx="96">
                  <c:v>-85.56211705287771</c:v>
                </c:pt>
                <c:pt idx="97">
                  <c:v>-85.56211705287771</c:v>
                </c:pt>
                <c:pt idx="98">
                  <c:v>-85.56211705287771</c:v>
                </c:pt>
                <c:pt idx="99">
                  <c:v>-85.397853310607232</c:v>
                </c:pt>
                <c:pt idx="100">
                  <c:v>-77.525910668541499</c:v>
                </c:pt>
                <c:pt idx="101">
                  <c:v>-69.854372539628642</c:v>
                </c:pt>
                <c:pt idx="102">
                  <c:v>-55.626273525277071</c:v>
                </c:pt>
                <c:pt idx="103">
                  <c:v>-42.919461385113735</c:v>
                </c:pt>
                <c:pt idx="104">
                  <c:v>-31.775163569822858</c:v>
                </c:pt>
                <c:pt idx="105">
                  <c:v>-22.234287679118854</c:v>
                </c:pt>
                <c:pt idx="106">
                  <c:v>-14.337503961598541</c:v>
                </c:pt>
                <c:pt idx="107">
                  <c:v>-8.1253159376865476</c:v>
                </c:pt>
                <c:pt idx="108">
                  <c:v>-3.6381188443252732</c:v>
                </c:pt>
                <c:pt idx="109">
                  <c:v>-0.91624560131313859</c:v>
                </c:pt>
                <c:pt idx="110">
                  <c:v>-0.22990085567001148</c:v>
                </c:pt>
                <c:pt idx="111">
                  <c:v>-9.2289414299339542E-5</c:v>
                </c:pt>
                <c:pt idx="112">
                  <c:v>-7.0948838743431935E-12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7832832"/>
        <c:axId val="427834368"/>
      </c:scatterChart>
      <c:valAx>
        <c:axId val="427832832"/>
        <c:scaling>
          <c:orientation val="minMax"/>
          <c:min val="0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427834368"/>
        <c:crosses val="autoZero"/>
        <c:crossBetween val="midCat"/>
      </c:valAx>
      <c:valAx>
        <c:axId val="42783436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e-CH"/>
                  <a:t>Moment (kNm/m)</a:t>
                </a:r>
              </a:p>
            </c:rich>
          </c:tx>
          <c:overlay val="0"/>
        </c:title>
        <c:numFmt formatCode="0" sourceLinked="1"/>
        <c:majorTickMark val="out"/>
        <c:minorTickMark val="none"/>
        <c:tickLblPos val="nextTo"/>
        <c:crossAx val="427832832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73897550764269648"/>
          <c:y val="1.9607843137254902E-2"/>
          <c:w val="0.230448576126937"/>
          <c:h val="0.40203026092326694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1"/>
          </a:pPr>
          <a:endParaRPr lang="de-DE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26</xdr:row>
      <xdr:rowOff>1</xdr:rowOff>
    </xdr:from>
    <xdr:to>
      <xdr:col>6</xdr:col>
      <xdr:colOff>0</xdr:colOff>
      <xdr:row>43</xdr:row>
      <xdr:rowOff>1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3</xdr:row>
      <xdr:rowOff>114300</xdr:rowOff>
    </xdr:from>
    <xdr:to>
      <xdr:col>24</xdr:col>
      <xdr:colOff>385763</xdr:colOff>
      <xdr:row>20</xdr:row>
      <xdr:rowOff>0</xdr:rowOff>
    </xdr:to>
    <xdr:graphicFrame macro="">
      <xdr:nvGraphicFramePr>
        <xdr:cNvPr id="3" name="Diagram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77</xdr:row>
      <xdr:rowOff>0</xdr:rowOff>
    </xdr:from>
    <xdr:to>
      <xdr:col>6</xdr:col>
      <xdr:colOff>0</xdr:colOff>
      <xdr:row>93</xdr:row>
      <xdr:rowOff>76200</xdr:rowOff>
    </xdr:to>
    <xdr:graphicFrame macro="">
      <xdr:nvGraphicFramePr>
        <xdr:cNvPr id="4" name="Diagramm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43</xdr:row>
      <xdr:rowOff>0</xdr:rowOff>
    </xdr:from>
    <xdr:to>
      <xdr:col>5</xdr:col>
      <xdr:colOff>847724</xdr:colOff>
      <xdr:row>60</xdr:row>
      <xdr:rowOff>0</xdr:rowOff>
    </xdr:to>
    <xdr:graphicFrame macro="">
      <xdr:nvGraphicFramePr>
        <xdr:cNvPr id="5" name="Diagramm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60</xdr:row>
      <xdr:rowOff>0</xdr:rowOff>
    </xdr:from>
    <xdr:to>
      <xdr:col>6</xdr:col>
      <xdr:colOff>0</xdr:colOff>
      <xdr:row>77</xdr:row>
      <xdr:rowOff>0</xdr:rowOff>
    </xdr:to>
    <xdr:graphicFrame macro="">
      <xdr:nvGraphicFramePr>
        <xdr:cNvPr id="6" name="Diagramm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26</xdr:row>
      <xdr:rowOff>1</xdr:rowOff>
    </xdr:from>
    <xdr:to>
      <xdr:col>6</xdr:col>
      <xdr:colOff>0</xdr:colOff>
      <xdr:row>43</xdr:row>
      <xdr:rowOff>1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Larissa">
  <a:themeElements>
    <a:clrScheme name="Nyad">
      <a:dk1>
        <a:sysClr val="windowText" lastClr="000000"/>
      </a:dk1>
      <a:lt1>
        <a:sysClr val="window" lastClr="FFFFFF"/>
      </a:lt1>
      <a:dk2>
        <a:srgbClr val="4F271C"/>
      </a:dk2>
      <a:lt2>
        <a:srgbClr val="E7DEC9"/>
      </a:lt2>
      <a:accent1>
        <a:srgbClr val="3891A7"/>
      </a:accent1>
      <a:accent2>
        <a:srgbClr val="FEB80A"/>
      </a:accent2>
      <a:accent3>
        <a:srgbClr val="C32D2E"/>
      </a:accent3>
      <a:accent4>
        <a:srgbClr val="84AA33"/>
      </a:accent4>
      <a:accent5>
        <a:srgbClr val="964305"/>
      </a:accent5>
      <a:accent6>
        <a:srgbClr val="475A8D"/>
      </a:accent6>
      <a:hlink>
        <a:srgbClr val="8DC765"/>
      </a:hlink>
      <a:folHlink>
        <a:srgbClr val="AA8A14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/>
  <dimension ref="A1:R761"/>
  <sheetViews>
    <sheetView tabSelected="1" topLeftCell="A19" zoomScaleNormal="100" workbookViewId="0">
      <selection activeCell="F7" sqref="F7"/>
    </sheetView>
  </sheetViews>
  <sheetFormatPr baseColWidth="10" defaultRowHeight="15" x14ac:dyDescent="0.25"/>
  <cols>
    <col min="1" max="1" width="20.28515625" customWidth="1"/>
    <col min="2" max="2" width="14" bestFit="1" customWidth="1"/>
    <col min="4" max="4" width="12" bestFit="1" customWidth="1"/>
    <col min="6" max="6" width="9.7109375" customWidth="1"/>
    <col min="7" max="7" width="7.28515625" customWidth="1"/>
  </cols>
  <sheetData>
    <row r="1" spans="1:18" x14ac:dyDescent="0.25">
      <c r="A1" s="1" t="s">
        <v>55</v>
      </c>
      <c r="I1" s="1" t="s">
        <v>42</v>
      </c>
      <c r="R1" s="1" t="s">
        <v>54</v>
      </c>
    </row>
    <row r="2" spans="1:18" x14ac:dyDescent="0.25">
      <c r="I2" t="s">
        <v>43</v>
      </c>
      <c r="J2" t="s">
        <v>23</v>
      </c>
      <c r="K2" t="s">
        <v>24</v>
      </c>
      <c r="L2" t="s">
        <v>35</v>
      </c>
      <c r="M2" t="s">
        <v>34</v>
      </c>
      <c r="N2" t="s">
        <v>36</v>
      </c>
      <c r="O2" t="s">
        <v>33</v>
      </c>
      <c r="P2" t="s">
        <v>31</v>
      </c>
    </row>
    <row r="3" spans="1:18" x14ac:dyDescent="0.25">
      <c r="A3" s="2" t="s">
        <v>0</v>
      </c>
      <c r="B3" s="3"/>
      <c r="C3" s="3"/>
      <c r="E3" s="4" t="s">
        <v>1</v>
      </c>
      <c r="F3" s="5"/>
      <c r="G3" s="5"/>
      <c r="J3" t="s">
        <v>44</v>
      </c>
      <c r="K3" t="s">
        <v>29</v>
      </c>
      <c r="L3" t="s">
        <v>40</v>
      </c>
      <c r="M3" t="s">
        <v>30</v>
      </c>
      <c r="N3" t="s">
        <v>38</v>
      </c>
      <c r="O3" t="s">
        <v>29</v>
      </c>
      <c r="P3" t="s">
        <v>8</v>
      </c>
    </row>
    <row r="4" spans="1:18" x14ac:dyDescent="0.25">
      <c r="A4" t="s">
        <v>2</v>
      </c>
      <c r="B4" s="6">
        <v>5.5</v>
      </c>
      <c r="C4" t="s">
        <v>3</v>
      </c>
      <c r="E4" t="s">
        <v>4</v>
      </c>
      <c r="F4" t="s">
        <v>5</v>
      </c>
      <c r="G4" t="s">
        <v>6</v>
      </c>
      <c r="I4">
        <v>0</v>
      </c>
      <c r="J4">
        <f>($F$6-0)/10*I4</f>
        <v>0</v>
      </c>
      <c r="K4" s="18">
        <f>Moment(J4,$B$4,$B$5,$B$15*1000,$B$10*1000,$F$6:$F$12,$G$6:$G$12)</f>
        <v>-1.5484373809251402E-13</v>
      </c>
      <c r="L4" s="15">
        <f>Biegelinie(J4,$B$4,$B$5,$B$15*1000,$B$10*1000,$F$6:$F$12,$G$6:$G$12)*1000</f>
        <v>-86.93718609942691</v>
      </c>
      <c r="M4" s="18">
        <f>L4*$B$13</f>
        <v>-263.44601848311186</v>
      </c>
      <c r="N4" s="18">
        <f>Querkraft(J4,$B$4,$B$5,$B$15*1000,$B$10*1000,$F$6:$F$12,$G$6:$G$12)/$B$5</f>
        <v>-2.2743796772655092E-13</v>
      </c>
      <c r="O4" s="18">
        <f>Moment(J4,$B$4,$B$5,$B$15*1000,$B$10*1000,$F$6:$F$12,$G$6:$G$12,TRUE)</f>
        <v>0</v>
      </c>
      <c r="P4" s="16">
        <f t="shared" ref="P4:P35" si="0">(M5+M4)/2*(J5-J4)*$B$5</f>
        <v>-3.9846381160317352</v>
      </c>
    </row>
    <row r="5" spans="1:18" x14ac:dyDescent="0.25">
      <c r="A5" t="s">
        <v>7</v>
      </c>
      <c r="B5" s="6">
        <v>5.5</v>
      </c>
      <c r="C5" t="s">
        <v>3</v>
      </c>
      <c r="F5" t="s">
        <v>3</v>
      </c>
      <c r="G5" t="s">
        <v>8</v>
      </c>
      <c r="I5">
        <v>0.01</v>
      </c>
      <c r="J5">
        <f t="shared" ref="J5:J12" si="1">($F$6-0)/10*I5</f>
        <v>2.7500000000000003E-3</v>
      </c>
      <c r="K5" s="18">
        <f>Moment(J5,$B$4,$B$5,$B$15*1000,$B$10*1000,$F$6:$F$12,$G$6:$G$12)</f>
        <v>-9.9615810502855034E-4</v>
      </c>
      <c r="L5" s="15">
        <f t="shared" ref="L5:L68" si="2">Biegelinie(J5,$B$4,$B$5,$B$15*1000,$B$10*1000,$F$6:$F$12,$G$6:$G$12)*1000</f>
        <v>-86.937931691048774</v>
      </c>
      <c r="M5" s="18">
        <f t="shared" ref="M5:M68" si="3">L5*$B$13</f>
        <v>-263.44827785166297</v>
      </c>
      <c r="N5" s="18">
        <f t="shared" ref="N5:N8" si="4">Querkraft(J5,$B$4,$B$5,$B$15*1000,$B$10*1000,$F$6:$F$12,$G$6:$G$12)/$B$5</f>
        <v>-0.72447965746046039</v>
      </c>
      <c r="O5" s="18">
        <f t="shared" ref="O5:O8" si="5">Moment(J5,$B$4,$B$5,$B$15*1000,$B$10*1000,$F$6:$F$12,$G$6:$G$12,TRUE)</f>
        <v>-1.0000000000000002E-3</v>
      </c>
      <c r="P5" s="16">
        <f t="shared" si="0"/>
        <v>-195.28912824292513</v>
      </c>
    </row>
    <row r="6" spans="1:18" x14ac:dyDescent="0.25">
      <c r="A6" t="s">
        <v>9</v>
      </c>
      <c r="B6" s="6">
        <v>1.5</v>
      </c>
      <c r="C6" t="s">
        <v>3</v>
      </c>
      <c r="D6" s="16"/>
      <c r="E6">
        <v>1</v>
      </c>
      <c r="F6" s="6">
        <f>B4/2</f>
        <v>2.75</v>
      </c>
      <c r="G6" s="19">
        <v>8000</v>
      </c>
      <c r="I6">
        <v>0.5</v>
      </c>
      <c r="J6">
        <f t="shared" si="1"/>
        <v>0.13750000000000001</v>
      </c>
      <c r="K6" s="18">
        <f>Moment(J6,$B$4,$B$5,$B$15*1000,$B$10*1000,$F$6:$F$12,$G$6:$G$12)</f>
        <v>-2.4907441094753584</v>
      </c>
      <c r="L6" s="15">
        <f t="shared" si="2"/>
        <v>-86.974464517864121</v>
      </c>
      <c r="M6" s="18">
        <f t="shared" si="3"/>
        <v>-263.55898338746704</v>
      </c>
      <c r="N6" s="18">
        <f t="shared" si="4"/>
        <v>-36.231594023937049</v>
      </c>
      <c r="O6" s="18">
        <f t="shared" si="5"/>
        <v>-2.5000000000000004</v>
      </c>
      <c r="P6" s="16">
        <f t="shared" si="0"/>
        <v>-199.35917738831651</v>
      </c>
    </row>
    <row r="7" spans="1:18" x14ac:dyDescent="0.25">
      <c r="A7" t="s">
        <v>10</v>
      </c>
      <c r="B7" s="7">
        <v>12000</v>
      </c>
      <c r="C7" t="s">
        <v>11</v>
      </c>
      <c r="D7" s="16"/>
      <c r="E7">
        <v>2</v>
      </c>
      <c r="F7" s="6"/>
      <c r="G7" s="19"/>
      <c r="I7">
        <v>1</v>
      </c>
      <c r="J7">
        <f t="shared" si="1"/>
        <v>0.27500000000000002</v>
      </c>
      <c r="K7" s="18">
        <f>Moment(J7,$B$4,$B$5,$B$15*1000,$B$10*1000,$F$6:$F$12,$G$6:$G$12)</f>
        <v>-9.9644001775626645</v>
      </c>
      <c r="L7" s="15">
        <f t="shared" si="2"/>
        <v>-87.011726657393908</v>
      </c>
      <c r="M7" s="18">
        <f t="shared" si="3"/>
        <v>-263.67189896179974</v>
      </c>
      <c r="N7" s="18">
        <f t="shared" si="4"/>
        <v>-72.478718299823484</v>
      </c>
      <c r="O7" s="18">
        <f t="shared" si="5"/>
        <v>-10.000000000000002</v>
      </c>
      <c r="P7" s="16">
        <f t="shared" si="0"/>
        <v>-398.97397228881482</v>
      </c>
    </row>
    <row r="8" spans="1:18" x14ac:dyDescent="0.25">
      <c r="D8" s="16"/>
      <c r="E8">
        <v>3</v>
      </c>
      <c r="F8" s="6"/>
      <c r="G8" s="19"/>
      <c r="I8">
        <v>2</v>
      </c>
      <c r="J8">
        <f t="shared" si="1"/>
        <v>0.55000000000000004</v>
      </c>
      <c r="K8" s="18">
        <f>Moment(J8,$B$4,$B$5,$B$15*1000,$B$10*1000,$F$6:$F$12,$G$6:$G$12)</f>
        <v>-39.868983165726519</v>
      </c>
      <c r="L8" s="15">
        <f t="shared" si="2"/>
        <v>-87.086006704997956</v>
      </c>
      <c r="M8" s="18">
        <f t="shared" si="3"/>
        <v>-263.89699001514532</v>
      </c>
      <c r="N8" s="18">
        <f t="shared" si="4"/>
        <v>-145.01947620210984</v>
      </c>
      <c r="O8" s="18">
        <f t="shared" si="5"/>
        <v>-40.000000000000007</v>
      </c>
      <c r="P8" s="16">
        <f t="shared" si="0"/>
        <v>-399.31228982169813</v>
      </c>
    </row>
    <row r="9" spans="1:18" x14ac:dyDescent="0.25">
      <c r="A9" s="8" t="s">
        <v>12</v>
      </c>
      <c r="B9" s="8"/>
      <c r="C9" s="8"/>
      <c r="D9" s="16"/>
      <c r="E9">
        <v>4</v>
      </c>
      <c r="F9" s="6"/>
      <c r="G9" s="19"/>
      <c r="I9">
        <v>3</v>
      </c>
      <c r="J9">
        <f t="shared" si="1"/>
        <v>0.82500000000000007</v>
      </c>
      <c r="K9" s="18">
        <f t="shared" ref="K9:K72" si="6">Moment(J9,$B$4,$B$5,$B$15*1000,$B$10*1000,$F$6:$F$12,$G$6:$G$12)</f>
        <v>-89.730758678411831</v>
      </c>
      <c r="L9" s="15">
        <f t="shared" si="2"/>
        <v>-87.159356126288515</v>
      </c>
      <c r="M9" s="18">
        <f t="shared" si="3"/>
        <v>-264.11926098875307</v>
      </c>
      <c r="N9" s="18">
        <f t="shared" ref="N9:N72" si="7">Querkraft(J9,$B$4,$B$5,$B$15*1000,$B$10*1000,$F$6:$F$12,$G$6:$G$12)/$B$5</f>
        <v>-217.62180844148403</v>
      </c>
      <c r="O9" s="18">
        <f t="shared" ref="O9:O72" si="8">Moment(J9,$B$4,$B$5,$B$15*1000,$B$10*1000,$F$6:$F$12,$G$6:$G$12,TRUE)</f>
        <v>-90.000000000000014</v>
      </c>
      <c r="P9" s="16">
        <f t="shared" si="0"/>
        <v>-399.64378149452261</v>
      </c>
    </row>
    <row r="10" spans="1:18" x14ac:dyDescent="0.25">
      <c r="A10" t="s">
        <v>13</v>
      </c>
      <c r="B10" s="17">
        <v>30</v>
      </c>
      <c r="C10" t="s">
        <v>11</v>
      </c>
      <c r="D10" s="16"/>
      <c r="E10">
        <v>5</v>
      </c>
      <c r="F10" s="6"/>
      <c r="G10" s="19"/>
      <c r="I10">
        <v>4</v>
      </c>
      <c r="J10">
        <f t="shared" si="1"/>
        <v>1.1000000000000001</v>
      </c>
      <c r="K10" s="18">
        <f t="shared" si="6"/>
        <v>-159.56651462094513</v>
      </c>
      <c r="L10" s="15">
        <f t="shared" si="2"/>
        <v>-87.230657616775858</v>
      </c>
      <c r="M10" s="18">
        <f t="shared" si="3"/>
        <v>-264.33532611144199</v>
      </c>
      <c r="N10" s="18">
        <f t="shared" si="7"/>
        <v>-290.28450502038163</v>
      </c>
      <c r="O10" s="18">
        <f t="shared" si="8"/>
        <v>-160.00000000000003</v>
      </c>
      <c r="P10" s="16">
        <f t="shared" si="0"/>
        <v>-399.96230066033957</v>
      </c>
    </row>
    <row r="11" spans="1:18" x14ac:dyDescent="0.25">
      <c r="D11" s="16"/>
      <c r="E11">
        <v>6</v>
      </c>
      <c r="F11" s="6"/>
      <c r="G11" s="19"/>
      <c r="I11">
        <v>5</v>
      </c>
      <c r="J11">
        <f t="shared" si="1"/>
        <v>1.375</v>
      </c>
      <c r="K11" s="18">
        <f t="shared" si="6"/>
        <v>-249.39256103393237</v>
      </c>
      <c r="L11" s="15">
        <f t="shared" si="2"/>
        <v>-87.298346307735997</v>
      </c>
      <c r="M11" s="18">
        <f t="shared" si="3"/>
        <v>-264.54044335677577</v>
      </c>
      <c r="N11" s="18">
        <f t="shared" si="7"/>
        <v>-363.00523839486453</v>
      </c>
      <c r="O11" s="18">
        <f t="shared" si="8"/>
        <v>-250</v>
      </c>
      <c r="P11" s="16">
        <f t="shared" si="0"/>
        <v>-400.25964850013713</v>
      </c>
    </row>
    <row r="12" spans="1:18" x14ac:dyDescent="0.25">
      <c r="A12" t="s">
        <v>14</v>
      </c>
      <c r="D12" s="16"/>
      <c r="E12">
        <v>7</v>
      </c>
      <c r="F12" s="6"/>
      <c r="G12" s="19"/>
      <c r="I12">
        <v>6</v>
      </c>
      <c r="J12">
        <f t="shared" si="1"/>
        <v>1.6500000000000001</v>
      </c>
      <c r="K12" s="18">
        <f t="shared" si="6"/>
        <v>-359.22437147053813</v>
      </c>
      <c r="L12" s="15">
        <f t="shared" si="2"/>
        <v>-87.360409401414643</v>
      </c>
      <c r="M12" s="18">
        <f t="shared" si="3"/>
        <v>-264.72851333762014</v>
      </c>
      <c r="N12" s="18">
        <f t="shared" si="7"/>
        <v>-435.78019035142188</v>
      </c>
      <c r="O12" s="18">
        <f t="shared" si="8"/>
        <v>-360.00000000000006</v>
      </c>
      <c r="P12" s="16">
        <f t="shared" si="0"/>
        <v>-400.52557239424777</v>
      </c>
    </row>
    <row r="13" spans="1:18" x14ac:dyDescent="0.25">
      <c r="A13" t="s">
        <v>39</v>
      </c>
      <c r="B13" s="9">
        <f>B10/(1.8*B5)</f>
        <v>3.0303030303030303</v>
      </c>
      <c r="C13" t="s">
        <v>15</v>
      </c>
      <c r="D13" t="s">
        <v>16</v>
      </c>
      <c r="I13">
        <v>7</v>
      </c>
      <c r="J13">
        <f t="shared" ref="J13:J18" si="9">($F$6-0)/10*I13</f>
        <v>1.9250000000000003</v>
      </c>
      <c r="K13" s="18">
        <f t="shared" si="6"/>
        <v>-489.07612172371648</v>
      </c>
      <c r="L13" s="15">
        <f t="shared" si="2"/>
        <v>-87.414385825166107</v>
      </c>
      <c r="M13" s="18">
        <f t="shared" si="3"/>
        <v>-264.8920782580791</v>
      </c>
      <c r="N13" s="18">
        <f t="shared" si="7"/>
        <v>-508.60367858702392</v>
      </c>
      <c r="O13" s="18">
        <f t="shared" si="8"/>
        <v>-490.00000000000006</v>
      </c>
      <c r="P13" s="16">
        <f t="shared" si="0"/>
        <v>-400.74776440423528</v>
      </c>
    </row>
    <row r="14" spans="1:18" x14ac:dyDescent="0.25">
      <c r="A14" t="s">
        <v>17</v>
      </c>
      <c r="B14" s="10">
        <f>1/12*B5*B6^3</f>
        <v>1.546875</v>
      </c>
      <c r="C14" t="s">
        <v>18</v>
      </c>
      <c r="D14" t="s">
        <v>16</v>
      </c>
      <c r="I14">
        <v>8</v>
      </c>
      <c r="J14">
        <f t="shared" si="9"/>
        <v>2.2000000000000002</v>
      </c>
      <c r="K14" s="18">
        <f t="shared" si="6"/>
        <v>-638.96012582433843</v>
      </c>
      <c r="L14" s="15">
        <f t="shared" si="2"/>
        <v>-87.457365914863871</v>
      </c>
      <c r="M14" s="18">
        <f t="shared" si="3"/>
        <v>-265.02232095413297</v>
      </c>
      <c r="N14" s="18">
        <f t="shared" si="7"/>
        <v>-581.46778301235872</v>
      </c>
      <c r="O14" s="18">
        <f t="shared" si="8"/>
        <v>-640.00000000000011</v>
      </c>
      <c r="P14" s="16">
        <f t="shared" si="0"/>
        <v>-400.9118599179007</v>
      </c>
    </row>
    <row r="15" spans="1:18" x14ac:dyDescent="0.25">
      <c r="A15" t="s">
        <v>19</v>
      </c>
      <c r="B15" s="11">
        <f>B14*B7</f>
        <v>18562.5</v>
      </c>
      <c r="C15" t="s">
        <v>20</v>
      </c>
      <c r="D15" t="s">
        <v>56</v>
      </c>
      <c r="I15">
        <v>9</v>
      </c>
      <c r="J15">
        <f t="shared" si="9"/>
        <v>2.4750000000000001</v>
      </c>
      <c r="K15" s="18">
        <f t="shared" si="6"/>
        <v>-808.88616923790357</v>
      </c>
      <c r="L15" s="15">
        <f t="shared" si="2"/>
        <v>-87.485991140220122</v>
      </c>
      <c r="M15" s="18">
        <f t="shared" si="3"/>
        <v>-265.1090640612731</v>
      </c>
      <c r="N15" s="18">
        <f t="shared" si="7"/>
        <v>-654.36197180774661</v>
      </c>
      <c r="O15" s="18">
        <f t="shared" si="8"/>
        <v>-810</v>
      </c>
      <c r="P15" s="16">
        <f t="shared" si="0"/>
        <v>-200.49761816148992</v>
      </c>
    </row>
    <row r="16" spans="1:18" x14ac:dyDescent="0.25">
      <c r="A16" t="s">
        <v>21</v>
      </c>
      <c r="B16" s="12">
        <f>(4*B15/(B13*B5))^0.25</f>
        <v>8.1698094459945025</v>
      </c>
      <c r="C16" t="s">
        <v>3</v>
      </c>
      <c r="D16" t="s">
        <v>16</v>
      </c>
      <c r="I16">
        <v>9.5</v>
      </c>
      <c r="J16">
        <f t="shared" si="9"/>
        <v>2.6125000000000003</v>
      </c>
      <c r="K16" s="18">
        <f t="shared" si="6"/>
        <v>-901.3671349404508</v>
      </c>
      <c r="L16" s="15">
        <f t="shared" si="2"/>
        <v>-87.493748346170889</v>
      </c>
      <c r="M16" s="18">
        <f t="shared" si="3"/>
        <v>-265.13257074597237</v>
      </c>
      <c r="N16" s="18">
        <f t="shared" si="7"/>
        <v>-690.81625043285965</v>
      </c>
      <c r="O16" s="18">
        <f t="shared" si="8"/>
        <v>-902.50000000000011</v>
      </c>
      <c r="P16" s="16">
        <f t="shared" si="0"/>
        <v>-196.49941333513783</v>
      </c>
    </row>
    <row r="17" spans="1:16" x14ac:dyDescent="0.25">
      <c r="A17" t="s">
        <v>41</v>
      </c>
      <c r="B17" s="12">
        <f>B4/B16</f>
        <v>0.67321031614715843</v>
      </c>
      <c r="C17" t="s">
        <v>3</v>
      </c>
      <c r="D17" t="s">
        <v>16</v>
      </c>
      <c r="I17">
        <v>9.99</v>
      </c>
      <c r="J17">
        <f t="shared" si="9"/>
        <v>2.7472500000000002</v>
      </c>
      <c r="K17" s="18">
        <f t="shared" si="6"/>
        <v>-996.86174176070551</v>
      </c>
      <c r="L17" s="15">
        <f t="shared" si="2"/>
        <v>-87.496452768608705</v>
      </c>
      <c r="M17" s="18">
        <f t="shared" si="3"/>
        <v>-265.14076596548091</v>
      </c>
      <c r="N17" s="18">
        <f t="shared" si="7"/>
        <v>-726.54359016010994</v>
      </c>
      <c r="O17" s="18">
        <f t="shared" si="8"/>
        <v>-998.00100000000009</v>
      </c>
      <c r="P17" s="16">
        <f t="shared" si="0"/>
        <v>-4.01025411085641</v>
      </c>
    </row>
    <row r="18" spans="1:16" x14ac:dyDescent="0.25">
      <c r="A18" s="20" t="s">
        <v>37</v>
      </c>
      <c r="B18" s="21" t="str">
        <f>IF(B4&lt;1.5*PI()*B16,"Ja","Nein")</f>
        <v>Ja</v>
      </c>
      <c r="C18" s="20"/>
      <c r="D18" s="20" t="s">
        <v>16</v>
      </c>
      <c r="I18">
        <v>10</v>
      </c>
      <c r="J18">
        <f t="shared" si="9"/>
        <v>2.75</v>
      </c>
      <c r="K18" s="18">
        <f t="shared" si="6"/>
        <v>-998.86073919717353</v>
      </c>
      <c r="L18" s="15">
        <f t="shared" si="2"/>
        <v>-87.496453886955948</v>
      </c>
      <c r="M18" s="18">
        <f t="shared" si="3"/>
        <v>-265.14076935441199</v>
      </c>
      <c r="N18" s="18">
        <f t="shared" si="7"/>
        <v>-727.27272727272759</v>
      </c>
      <c r="O18" s="18">
        <f t="shared" si="8"/>
        <v>-1000</v>
      </c>
      <c r="P18" s="16">
        <f t="shared" si="0"/>
        <v>0</v>
      </c>
    </row>
    <row r="19" spans="1:16" x14ac:dyDescent="0.25">
      <c r="A19" s="13" t="s">
        <v>22</v>
      </c>
      <c r="B19" s="14"/>
      <c r="C19" s="13"/>
      <c r="I19">
        <f>I5</f>
        <v>0.01</v>
      </c>
      <c r="J19">
        <f t="shared" ref="J19:J32" si="10">IF($F$7=0,J18,$J$18+($F$7-$J$18)/10*I19)</f>
        <v>2.75</v>
      </c>
      <c r="K19" s="18">
        <f t="shared" si="6"/>
        <v>-998.86073919717353</v>
      </c>
      <c r="L19" s="15">
        <f t="shared" si="2"/>
        <v>-87.496453886955948</v>
      </c>
      <c r="M19" s="18">
        <f t="shared" si="3"/>
        <v>-265.14076935441199</v>
      </c>
      <c r="N19" s="18">
        <f t="shared" si="7"/>
        <v>-727.27272727272759</v>
      </c>
      <c r="O19" s="18">
        <f t="shared" si="8"/>
        <v>-1000</v>
      </c>
      <c r="P19" s="16">
        <f t="shared" si="0"/>
        <v>0</v>
      </c>
    </row>
    <row r="20" spans="1:16" x14ac:dyDescent="0.25">
      <c r="B20" t="s">
        <v>23</v>
      </c>
      <c r="C20" t="s">
        <v>24</v>
      </c>
      <c r="D20" t="s">
        <v>25</v>
      </c>
      <c r="E20" t="s">
        <v>26</v>
      </c>
      <c r="F20" t="s">
        <v>36</v>
      </c>
      <c r="I20">
        <f t="shared" ref="I20:I83" si="11">I6</f>
        <v>0.5</v>
      </c>
      <c r="J20">
        <f t="shared" si="10"/>
        <v>2.75</v>
      </c>
      <c r="K20" s="18">
        <f t="shared" si="6"/>
        <v>-998.86073919717353</v>
      </c>
      <c r="L20" s="15">
        <f t="shared" si="2"/>
        <v>-87.496453886955948</v>
      </c>
      <c r="M20" s="18">
        <f t="shared" si="3"/>
        <v>-265.14076935441199</v>
      </c>
      <c r="N20" s="18">
        <f t="shared" si="7"/>
        <v>-727.27272727272759</v>
      </c>
      <c r="O20" s="18">
        <f t="shared" si="8"/>
        <v>-1000</v>
      </c>
      <c r="P20" s="16">
        <f t="shared" si="0"/>
        <v>0</v>
      </c>
    </row>
    <row r="21" spans="1:16" x14ac:dyDescent="0.25">
      <c r="B21" t="s">
        <v>3</v>
      </c>
      <c r="C21" t="s">
        <v>27</v>
      </c>
      <c r="D21" t="s">
        <v>32</v>
      </c>
      <c r="E21" t="s">
        <v>28</v>
      </c>
      <c r="F21" t="s">
        <v>48</v>
      </c>
      <c r="I21">
        <f t="shared" si="11"/>
        <v>1</v>
      </c>
      <c r="J21">
        <f t="shared" si="10"/>
        <v>2.75</v>
      </c>
      <c r="K21" s="18">
        <f t="shared" si="6"/>
        <v>-998.86073919717353</v>
      </c>
      <c r="L21" s="15">
        <f t="shared" si="2"/>
        <v>-87.496453886955948</v>
      </c>
      <c r="M21" s="18">
        <f t="shared" si="3"/>
        <v>-265.14076935441199</v>
      </c>
      <c r="N21" s="18">
        <f t="shared" si="7"/>
        <v>-727.27272727272759</v>
      </c>
      <c r="O21" s="18">
        <f t="shared" si="8"/>
        <v>-1000</v>
      </c>
      <c r="P21" s="16">
        <f t="shared" si="0"/>
        <v>0</v>
      </c>
    </row>
    <row r="22" spans="1:16" x14ac:dyDescent="0.25">
      <c r="A22" t="s">
        <v>46</v>
      </c>
      <c r="B22">
        <f>B4/2</f>
        <v>2.75</v>
      </c>
      <c r="C22" s="12">
        <f>Moment(B22,$B$4,$B$5,$B$15*1000,$B$10*1000,$F$6:$F$12,$G$6:$G$12)</f>
        <v>-998.86073919717353</v>
      </c>
      <c r="D22" s="12">
        <f>Biegelinie(B22,$B$4,$B$5,$B$15*1000,$B$10*1000,$F$6:$F$12,$G$6:$G$12)*1000</f>
        <v>-87.496453886955948</v>
      </c>
      <c r="E22" s="12">
        <f>D22*$B$13</f>
        <v>-265.14076935441199</v>
      </c>
      <c r="F22" s="12">
        <f>Querkraft(B22,$B$4,$B$5,$B$15*1000,$B$10*1000,$F$6:$F$12,$G$6:$G$12)/$B$5</f>
        <v>-727.27272727272759</v>
      </c>
      <c r="I22">
        <f t="shared" si="11"/>
        <v>2</v>
      </c>
      <c r="J22">
        <f t="shared" si="10"/>
        <v>2.75</v>
      </c>
      <c r="K22" s="18">
        <f t="shared" si="6"/>
        <v>-998.86073919717353</v>
      </c>
      <c r="L22" s="15">
        <f t="shared" si="2"/>
        <v>-87.496453886955948</v>
      </c>
      <c r="M22" s="18">
        <f t="shared" si="3"/>
        <v>-265.14076935441199</v>
      </c>
      <c r="N22" s="18">
        <f t="shared" si="7"/>
        <v>-727.27272727272759</v>
      </c>
      <c r="O22" s="18">
        <f t="shared" si="8"/>
        <v>-1000</v>
      </c>
      <c r="P22" s="16">
        <f t="shared" si="0"/>
        <v>0</v>
      </c>
    </row>
    <row r="23" spans="1:16" x14ac:dyDescent="0.25">
      <c r="A23" t="s">
        <v>47</v>
      </c>
      <c r="B23" s="6">
        <v>1</v>
      </c>
      <c r="C23" s="12">
        <f>Moment(B23,$B$4,$B$5,$B$15*1000,$B$10*1000,$F$6:$F$12,$G$6:$G$12)</f>
        <v>-131.85961199535225</v>
      </c>
      <c r="D23" s="12">
        <f>Biegelinie(B23,$B$4,$B$5,$B$15*1000,$B$10*1000,$F$6:$F$12,$G$6:$G$12)*1000</f>
        <v>-87.205055878769599</v>
      </c>
      <c r="E23" s="12">
        <f>D23*$B$13</f>
        <v>-264.25774508718058</v>
      </c>
      <c r="F23" s="12">
        <f>Querkraft(B23,$B$4,$B$5,$B$15*1000,$B$10*1000,$F$6:$F$12,$G$6:$G$12)/$B$5</f>
        <v>-263.85484057763949</v>
      </c>
      <c r="I23">
        <f t="shared" si="11"/>
        <v>3</v>
      </c>
      <c r="J23">
        <f t="shared" si="10"/>
        <v>2.75</v>
      </c>
      <c r="K23" s="18">
        <f t="shared" si="6"/>
        <v>-998.86073919717353</v>
      </c>
      <c r="L23" s="15">
        <f t="shared" si="2"/>
        <v>-87.496453886955948</v>
      </c>
      <c r="M23" s="18">
        <f t="shared" si="3"/>
        <v>-265.14076935441199</v>
      </c>
      <c r="N23" s="18">
        <f t="shared" si="7"/>
        <v>-727.27272727272759</v>
      </c>
      <c r="O23" s="18">
        <f t="shared" si="8"/>
        <v>-1000</v>
      </c>
      <c r="P23" s="16">
        <f t="shared" si="0"/>
        <v>0</v>
      </c>
    </row>
    <row r="24" spans="1:16" x14ac:dyDescent="0.25">
      <c r="A24" t="s">
        <v>49</v>
      </c>
      <c r="B24" s="12"/>
      <c r="C24" s="12">
        <f>Max_Moment($B$4,$B$5,$B$15*1000,$B$10*1000,$F$6:$F$12,$G$6:$G$12)</f>
        <v>0</v>
      </c>
      <c r="D24" s="12"/>
      <c r="E24" s="12"/>
      <c r="I24">
        <f t="shared" si="11"/>
        <v>4</v>
      </c>
      <c r="J24">
        <f t="shared" si="10"/>
        <v>2.75</v>
      </c>
      <c r="K24" s="18">
        <f t="shared" si="6"/>
        <v>-998.86073919717353</v>
      </c>
      <c r="L24" s="15">
        <f t="shared" si="2"/>
        <v>-87.496453886955948</v>
      </c>
      <c r="M24" s="18">
        <f t="shared" si="3"/>
        <v>-265.14076935441199</v>
      </c>
      <c r="N24" s="18">
        <f t="shared" si="7"/>
        <v>-727.27272727272759</v>
      </c>
      <c r="O24" s="18">
        <f t="shared" si="8"/>
        <v>-1000</v>
      </c>
      <c r="P24" s="16">
        <f t="shared" si="0"/>
        <v>0</v>
      </c>
    </row>
    <row r="25" spans="1:16" x14ac:dyDescent="0.25">
      <c r="A25" t="s">
        <v>50</v>
      </c>
      <c r="B25" s="12"/>
      <c r="C25" s="12">
        <f>Min_Moment($B$4,$B$5,$B$15*1000,$B$10*1000,$F$6:$F$12,$G$6:$G$12)</f>
        <v>-998.86073919717353</v>
      </c>
      <c r="D25" s="12"/>
      <c r="E25" s="12"/>
      <c r="I25">
        <f t="shared" si="11"/>
        <v>5</v>
      </c>
      <c r="J25">
        <f t="shared" si="10"/>
        <v>2.75</v>
      </c>
      <c r="K25" s="18">
        <f t="shared" si="6"/>
        <v>-998.86073919717353</v>
      </c>
      <c r="L25" s="15">
        <f t="shared" si="2"/>
        <v>-87.496453886955948</v>
      </c>
      <c r="M25" s="18">
        <f t="shared" si="3"/>
        <v>-265.14076935441199</v>
      </c>
      <c r="N25" s="18">
        <f t="shared" si="7"/>
        <v>-727.27272727272759</v>
      </c>
      <c r="O25" s="18">
        <f t="shared" si="8"/>
        <v>-1000</v>
      </c>
      <c r="P25" s="16">
        <f t="shared" si="0"/>
        <v>0</v>
      </c>
    </row>
    <row r="26" spans="1:16" x14ac:dyDescent="0.25">
      <c r="I26">
        <f t="shared" si="11"/>
        <v>6</v>
      </c>
      <c r="J26">
        <f t="shared" si="10"/>
        <v>2.75</v>
      </c>
      <c r="K26" s="18">
        <f t="shared" si="6"/>
        <v>-998.86073919717353</v>
      </c>
      <c r="L26" s="15">
        <f t="shared" si="2"/>
        <v>-87.496453886955948</v>
      </c>
      <c r="M26" s="18">
        <f t="shared" si="3"/>
        <v>-265.14076935441199</v>
      </c>
      <c r="N26" s="18">
        <f t="shared" si="7"/>
        <v>-727.27272727272759</v>
      </c>
      <c r="O26" s="18">
        <f t="shared" si="8"/>
        <v>-1000</v>
      </c>
      <c r="P26" s="16">
        <f t="shared" si="0"/>
        <v>0</v>
      </c>
    </row>
    <row r="27" spans="1:16" x14ac:dyDescent="0.25">
      <c r="I27">
        <f t="shared" si="11"/>
        <v>7</v>
      </c>
      <c r="J27">
        <f t="shared" si="10"/>
        <v>2.75</v>
      </c>
      <c r="K27" s="18">
        <f t="shared" si="6"/>
        <v>-998.86073919717353</v>
      </c>
      <c r="L27" s="15">
        <f t="shared" si="2"/>
        <v>-87.496453886955948</v>
      </c>
      <c r="M27" s="18">
        <f t="shared" si="3"/>
        <v>-265.14076935441199</v>
      </c>
      <c r="N27" s="18">
        <f t="shared" si="7"/>
        <v>-727.27272727272759</v>
      </c>
      <c r="O27" s="18">
        <f t="shared" si="8"/>
        <v>-1000</v>
      </c>
      <c r="P27" s="16">
        <f t="shared" si="0"/>
        <v>0</v>
      </c>
    </row>
    <row r="28" spans="1:16" x14ac:dyDescent="0.25">
      <c r="I28">
        <f t="shared" si="11"/>
        <v>8</v>
      </c>
      <c r="J28">
        <f t="shared" si="10"/>
        <v>2.75</v>
      </c>
      <c r="K28" s="18">
        <f t="shared" si="6"/>
        <v>-998.86073919717353</v>
      </c>
      <c r="L28" s="15">
        <f t="shared" si="2"/>
        <v>-87.496453886955948</v>
      </c>
      <c r="M28" s="18">
        <f t="shared" si="3"/>
        <v>-265.14076935441199</v>
      </c>
      <c r="N28" s="18">
        <f t="shared" si="7"/>
        <v>-727.27272727272759</v>
      </c>
      <c r="O28" s="18">
        <f t="shared" si="8"/>
        <v>-1000</v>
      </c>
      <c r="P28" s="16">
        <f t="shared" si="0"/>
        <v>0</v>
      </c>
    </row>
    <row r="29" spans="1:16" x14ac:dyDescent="0.25">
      <c r="I29">
        <f t="shared" si="11"/>
        <v>9</v>
      </c>
      <c r="J29">
        <f t="shared" si="10"/>
        <v>2.75</v>
      </c>
      <c r="K29" s="18">
        <f t="shared" si="6"/>
        <v>-998.86073919717353</v>
      </c>
      <c r="L29" s="15">
        <f t="shared" si="2"/>
        <v>-87.496453886955948</v>
      </c>
      <c r="M29" s="18">
        <f t="shared" si="3"/>
        <v>-265.14076935441199</v>
      </c>
      <c r="N29" s="18">
        <f t="shared" si="7"/>
        <v>-727.27272727272759</v>
      </c>
      <c r="O29" s="18">
        <f t="shared" si="8"/>
        <v>-1000</v>
      </c>
      <c r="P29" s="16">
        <f t="shared" si="0"/>
        <v>0</v>
      </c>
    </row>
    <row r="30" spans="1:16" x14ac:dyDescent="0.25">
      <c r="I30">
        <f t="shared" si="11"/>
        <v>9.5</v>
      </c>
      <c r="J30">
        <f t="shared" si="10"/>
        <v>2.75</v>
      </c>
      <c r="K30" s="18">
        <f t="shared" si="6"/>
        <v>-998.86073919717353</v>
      </c>
      <c r="L30" s="15">
        <f t="shared" si="2"/>
        <v>-87.496453886955948</v>
      </c>
      <c r="M30" s="18">
        <f t="shared" si="3"/>
        <v>-265.14076935441199</v>
      </c>
      <c r="N30" s="18">
        <f t="shared" si="7"/>
        <v>-727.27272727272759</v>
      </c>
      <c r="O30" s="18">
        <f t="shared" si="8"/>
        <v>-1000</v>
      </c>
      <c r="P30" s="16">
        <f t="shared" si="0"/>
        <v>0</v>
      </c>
    </row>
    <row r="31" spans="1:16" x14ac:dyDescent="0.25">
      <c r="I31">
        <f t="shared" si="11"/>
        <v>9.99</v>
      </c>
      <c r="J31">
        <f t="shared" si="10"/>
        <v>2.75</v>
      </c>
      <c r="K31" s="18">
        <f t="shared" si="6"/>
        <v>-998.86073919717353</v>
      </c>
      <c r="L31" s="15">
        <f t="shared" si="2"/>
        <v>-87.496453886955948</v>
      </c>
      <c r="M31" s="18">
        <f t="shared" si="3"/>
        <v>-265.14076935441199</v>
      </c>
      <c r="N31" s="18">
        <f t="shared" si="7"/>
        <v>-727.27272727272759</v>
      </c>
      <c r="O31" s="18">
        <f t="shared" si="8"/>
        <v>-1000</v>
      </c>
      <c r="P31" s="16">
        <f t="shared" si="0"/>
        <v>0</v>
      </c>
    </row>
    <row r="32" spans="1:16" x14ac:dyDescent="0.25">
      <c r="I32">
        <f t="shared" si="11"/>
        <v>10</v>
      </c>
      <c r="J32">
        <f t="shared" si="10"/>
        <v>2.75</v>
      </c>
      <c r="K32" s="18">
        <f t="shared" si="6"/>
        <v>-998.86073919717353</v>
      </c>
      <c r="L32" s="15">
        <f t="shared" si="2"/>
        <v>-87.496453886955948</v>
      </c>
      <c r="M32" s="18">
        <f t="shared" si="3"/>
        <v>-265.14076935441199</v>
      </c>
      <c r="N32" s="18">
        <f t="shared" si="7"/>
        <v>-727.27272727272759</v>
      </c>
      <c r="O32" s="18">
        <f t="shared" si="8"/>
        <v>-1000</v>
      </c>
      <c r="P32" s="16">
        <f t="shared" si="0"/>
        <v>0</v>
      </c>
    </row>
    <row r="33" spans="9:16" x14ac:dyDescent="0.25">
      <c r="I33">
        <f>I19</f>
        <v>0.01</v>
      </c>
      <c r="J33">
        <f t="shared" ref="J33:J46" si="12">IF($F$8=0,J32,$J$32+($F$8-$J$32)/10*I33)</f>
        <v>2.75</v>
      </c>
      <c r="K33" s="18">
        <f t="shared" si="6"/>
        <v>-998.86073919717353</v>
      </c>
      <c r="L33" s="15">
        <f t="shared" si="2"/>
        <v>-87.496453886955948</v>
      </c>
      <c r="M33" s="18">
        <f t="shared" si="3"/>
        <v>-265.14076935441199</v>
      </c>
      <c r="N33" s="18">
        <f t="shared" si="7"/>
        <v>-727.27272727272759</v>
      </c>
      <c r="O33" s="18">
        <f t="shared" si="8"/>
        <v>-1000</v>
      </c>
      <c r="P33" s="16">
        <f t="shared" si="0"/>
        <v>0</v>
      </c>
    </row>
    <row r="34" spans="9:16" x14ac:dyDescent="0.25">
      <c r="I34">
        <f t="shared" si="11"/>
        <v>0.5</v>
      </c>
      <c r="J34">
        <f t="shared" si="12"/>
        <v>2.75</v>
      </c>
      <c r="K34" s="18">
        <f t="shared" si="6"/>
        <v>-998.86073919717353</v>
      </c>
      <c r="L34" s="15">
        <f t="shared" si="2"/>
        <v>-87.496453886955948</v>
      </c>
      <c r="M34" s="18">
        <f t="shared" si="3"/>
        <v>-265.14076935441199</v>
      </c>
      <c r="N34" s="18">
        <f t="shared" si="7"/>
        <v>-727.27272727272759</v>
      </c>
      <c r="O34" s="18">
        <f t="shared" si="8"/>
        <v>-1000</v>
      </c>
      <c r="P34" s="16">
        <f t="shared" si="0"/>
        <v>0</v>
      </c>
    </row>
    <row r="35" spans="9:16" x14ac:dyDescent="0.25">
      <c r="I35">
        <f t="shared" si="11"/>
        <v>1</v>
      </c>
      <c r="J35">
        <f t="shared" si="12"/>
        <v>2.75</v>
      </c>
      <c r="K35" s="18">
        <f t="shared" si="6"/>
        <v>-998.86073919717353</v>
      </c>
      <c r="L35" s="15">
        <f t="shared" si="2"/>
        <v>-87.496453886955948</v>
      </c>
      <c r="M35" s="18">
        <f t="shared" si="3"/>
        <v>-265.14076935441199</v>
      </c>
      <c r="N35" s="18">
        <f t="shared" si="7"/>
        <v>-727.27272727272759</v>
      </c>
      <c r="O35" s="18">
        <f t="shared" si="8"/>
        <v>-1000</v>
      </c>
      <c r="P35" s="16">
        <f t="shared" si="0"/>
        <v>0</v>
      </c>
    </row>
    <row r="36" spans="9:16" x14ac:dyDescent="0.25">
      <c r="I36">
        <f t="shared" si="11"/>
        <v>2</v>
      </c>
      <c r="J36">
        <f t="shared" si="12"/>
        <v>2.75</v>
      </c>
      <c r="K36" s="18">
        <f t="shared" si="6"/>
        <v>-998.86073919717353</v>
      </c>
      <c r="L36" s="15">
        <f t="shared" si="2"/>
        <v>-87.496453886955948</v>
      </c>
      <c r="M36" s="18">
        <f t="shared" si="3"/>
        <v>-265.14076935441199</v>
      </c>
      <c r="N36" s="18">
        <f t="shared" si="7"/>
        <v>-727.27272727272759</v>
      </c>
      <c r="O36" s="18">
        <f t="shared" si="8"/>
        <v>-1000</v>
      </c>
      <c r="P36" s="16">
        <f t="shared" ref="P36:P67" si="13">(M37+M36)/2*(J37-J36)*$B$5</f>
        <v>0</v>
      </c>
    </row>
    <row r="37" spans="9:16" x14ac:dyDescent="0.25">
      <c r="I37">
        <f t="shared" si="11"/>
        <v>3</v>
      </c>
      <c r="J37">
        <f t="shared" si="12"/>
        <v>2.75</v>
      </c>
      <c r="K37" s="18">
        <f t="shared" si="6"/>
        <v>-998.86073919717353</v>
      </c>
      <c r="L37" s="15">
        <f t="shared" si="2"/>
        <v>-87.496453886955948</v>
      </c>
      <c r="M37" s="18">
        <f t="shared" si="3"/>
        <v>-265.14076935441199</v>
      </c>
      <c r="N37" s="18">
        <f t="shared" si="7"/>
        <v>-727.27272727272759</v>
      </c>
      <c r="O37" s="18">
        <f t="shared" si="8"/>
        <v>-1000</v>
      </c>
      <c r="P37" s="16">
        <f t="shared" si="13"/>
        <v>0</v>
      </c>
    </row>
    <row r="38" spans="9:16" x14ac:dyDescent="0.25">
      <c r="I38">
        <f t="shared" si="11"/>
        <v>4</v>
      </c>
      <c r="J38">
        <f t="shared" si="12"/>
        <v>2.75</v>
      </c>
      <c r="K38" s="18">
        <f t="shared" si="6"/>
        <v>-998.86073919717353</v>
      </c>
      <c r="L38" s="15">
        <f t="shared" si="2"/>
        <v>-87.496453886955948</v>
      </c>
      <c r="M38" s="18">
        <f t="shared" si="3"/>
        <v>-265.14076935441199</v>
      </c>
      <c r="N38" s="18">
        <f t="shared" si="7"/>
        <v>-727.27272727272759</v>
      </c>
      <c r="O38" s="18">
        <f t="shared" si="8"/>
        <v>-1000</v>
      </c>
      <c r="P38" s="16">
        <f t="shared" si="13"/>
        <v>0</v>
      </c>
    </row>
    <row r="39" spans="9:16" x14ac:dyDescent="0.25">
      <c r="I39">
        <f t="shared" si="11"/>
        <v>5</v>
      </c>
      <c r="J39">
        <f t="shared" si="12"/>
        <v>2.75</v>
      </c>
      <c r="K39" s="18">
        <f t="shared" si="6"/>
        <v>-998.86073919717353</v>
      </c>
      <c r="L39" s="15">
        <f t="shared" si="2"/>
        <v>-87.496453886955948</v>
      </c>
      <c r="M39" s="18">
        <f t="shared" si="3"/>
        <v>-265.14076935441199</v>
      </c>
      <c r="N39" s="18">
        <f t="shared" si="7"/>
        <v>-727.27272727272759</v>
      </c>
      <c r="O39" s="18">
        <f t="shared" si="8"/>
        <v>-1000</v>
      </c>
      <c r="P39" s="16">
        <f t="shared" si="13"/>
        <v>0</v>
      </c>
    </row>
    <row r="40" spans="9:16" x14ac:dyDescent="0.25">
      <c r="I40">
        <f t="shared" si="11"/>
        <v>6</v>
      </c>
      <c r="J40">
        <f t="shared" si="12"/>
        <v>2.75</v>
      </c>
      <c r="K40" s="18">
        <f t="shared" si="6"/>
        <v>-998.86073919717353</v>
      </c>
      <c r="L40" s="15">
        <f t="shared" si="2"/>
        <v>-87.496453886955948</v>
      </c>
      <c r="M40" s="18">
        <f t="shared" si="3"/>
        <v>-265.14076935441199</v>
      </c>
      <c r="N40" s="18">
        <f t="shared" si="7"/>
        <v>-727.27272727272759</v>
      </c>
      <c r="O40" s="18">
        <f t="shared" si="8"/>
        <v>-1000</v>
      </c>
      <c r="P40" s="16">
        <f t="shared" si="13"/>
        <v>0</v>
      </c>
    </row>
    <row r="41" spans="9:16" x14ac:dyDescent="0.25">
      <c r="I41">
        <f t="shared" si="11"/>
        <v>7</v>
      </c>
      <c r="J41">
        <f t="shared" si="12"/>
        <v>2.75</v>
      </c>
      <c r="K41" s="18">
        <f t="shared" si="6"/>
        <v>-998.86073919717353</v>
      </c>
      <c r="L41" s="15">
        <f t="shared" si="2"/>
        <v>-87.496453886955948</v>
      </c>
      <c r="M41" s="18">
        <f t="shared" si="3"/>
        <v>-265.14076935441199</v>
      </c>
      <c r="N41" s="18">
        <f t="shared" si="7"/>
        <v>-727.27272727272759</v>
      </c>
      <c r="O41" s="18">
        <f t="shared" si="8"/>
        <v>-1000</v>
      </c>
      <c r="P41" s="16">
        <f t="shared" si="13"/>
        <v>0</v>
      </c>
    </row>
    <row r="42" spans="9:16" x14ac:dyDescent="0.25">
      <c r="I42">
        <f t="shared" si="11"/>
        <v>8</v>
      </c>
      <c r="J42">
        <f t="shared" si="12"/>
        <v>2.75</v>
      </c>
      <c r="K42" s="18">
        <f t="shared" si="6"/>
        <v>-998.86073919717353</v>
      </c>
      <c r="L42" s="15">
        <f t="shared" si="2"/>
        <v>-87.496453886955948</v>
      </c>
      <c r="M42" s="18">
        <f t="shared" si="3"/>
        <v>-265.14076935441199</v>
      </c>
      <c r="N42" s="18">
        <f t="shared" si="7"/>
        <v>-727.27272727272759</v>
      </c>
      <c r="O42" s="18">
        <f t="shared" si="8"/>
        <v>-1000</v>
      </c>
      <c r="P42" s="16">
        <f t="shared" si="13"/>
        <v>0</v>
      </c>
    </row>
    <row r="43" spans="9:16" x14ac:dyDescent="0.25">
      <c r="I43">
        <f t="shared" si="11"/>
        <v>9</v>
      </c>
      <c r="J43">
        <f t="shared" si="12"/>
        <v>2.75</v>
      </c>
      <c r="K43" s="18">
        <f t="shared" si="6"/>
        <v>-998.86073919717353</v>
      </c>
      <c r="L43" s="15">
        <f t="shared" si="2"/>
        <v>-87.496453886955948</v>
      </c>
      <c r="M43" s="18">
        <f t="shared" si="3"/>
        <v>-265.14076935441199</v>
      </c>
      <c r="N43" s="18">
        <f t="shared" si="7"/>
        <v>-727.27272727272759</v>
      </c>
      <c r="O43" s="18">
        <f t="shared" si="8"/>
        <v>-1000</v>
      </c>
      <c r="P43" s="16">
        <f t="shared" si="13"/>
        <v>0</v>
      </c>
    </row>
    <row r="44" spans="9:16" x14ac:dyDescent="0.25">
      <c r="I44">
        <f t="shared" si="11"/>
        <v>9.5</v>
      </c>
      <c r="J44">
        <f t="shared" si="12"/>
        <v>2.75</v>
      </c>
      <c r="K44" s="18">
        <f t="shared" si="6"/>
        <v>-998.86073919717353</v>
      </c>
      <c r="L44" s="15">
        <f t="shared" si="2"/>
        <v>-87.496453886955948</v>
      </c>
      <c r="M44" s="18">
        <f t="shared" si="3"/>
        <v>-265.14076935441199</v>
      </c>
      <c r="N44" s="18">
        <f t="shared" si="7"/>
        <v>-727.27272727272759</v>
      </c>
      <c r="O44" s="18">
        <f t="shared" si="8"/>
        <v>-1000</v>
      </c>
      <c r="P44" s="16">
        <f t="shared" si="13"/>
        <v>0</v>
      </c>
    </row>
    <row r="45" spans="9:16" x14ac:dyDescent="0.25">
      <c r="I45">
        <f t="shared" si="11"/>
        <v>9.99</v>
      </c>
      <c r="J45">
        <f t="shared" si="12"/>
        <v>2.75</v>
      </c>
      <c r="K45" s="18">
        <f t="shared" si="6"/>
        <v>-998.86073919717353</v>
      </c>
      <c r="L45" s="15">
        <f t="shared" si="2"/>
        <v>-87.496453886955948</v>
      </c>
      <c r="M45" s="18">
        <f t="shared" si="3"/>
        <v>-265.14076935441199</v>
      </c>
      <c r="N45" s="18">
        <f t="shared" si="7"/>
        <v>-727.27272727272759</v>
      </c>
      <c r="O45" s="18">
        <f t="shared" si="8"/>
        <v>-1000</v>
      </c>
      <c r="P45" s="16">
        <f t="shared" si="13"/>
        <v>0</v>
      </c>
    </row>
    <row r="46" spans="9:16" x14ac:dyDescent="0.25">
      <c r="I46">
        <f t="shared" si="11"/>
        <v>10</v>
      </c>
      <c r="J46">
        <f t="shared" si="12"/>
        <v>2.75</v>
      </c>
      <c r="K46" s="18">
        <f t="shared" si="6"/>
        <v>-998.86073919717353</v>
      </c>
      <c r="L46" s="15">
        <f t="shared" si="2"/>
        <v>-87.496453886955948</v>
      </c>
      <c r="M46" s="18">
        <f t="shared" si="3"/>
        <v>-265.14076935441199</v>
      </c>
      <c r="N46" s="18">
        <f t="shared" si="7"/>
        <v>-727.27272727272759</v>
      </c>
      <c r="O46" s="18">
        <f t="shared" si="8"/>
        <v>-1000</v>
      </c>
      <c r="P46" s="16">
        <f t="shared" si="13"/>
        <v>0</v>
      </c>
    </row>
    <row r="47" spans="9:16" x14ac:dyDescent="0.25">
      <c r="I47">
        <f>I33</f>
        <v>0.01</v>
      </c>
      <c r="J47">
        <f t="shared" ref="J47:J60" si="14">IF($F$9=0,J46,$J$46+($F$9-$J$46)/10*I47)</f>
        <v>2.75</v>
      </c>
      <c r="K47" s="18">
        <f t="shared" si="6"/>
        <v>-998.86073919717353</v>
      </c>
      <c r="L47" s="15">
        <f t="shared" si="2"/>
        <v>-87.496453886955948</v>
      </c>
      <c r="M47" s="18">
        <f t="shared" si="3"/>
        <v>-265.14076935441199</v>
      </c>
      <c r="N47" s="18">
        <f t="shared" si="7"/>
        <v>-727.27272727272759</v>
      </c>
      <c r="O47" s="18">
        <f t="shared" si="8"/>
        <v>-1000</v>
      </c>
      <c r="P47" s="16">
        <f t="shared" si="13"/>
        <v>0</v>
      </c>
    </row>
    <row r="48" spans="9:16" x14ac:dyDescent="0.25">
      <c r="I48">
        <f t="shared" si="11"/>
        <v>0.5</v>
      </c>
      <c r="J48">
        <f t="shared" si="14"/>
        <v>2.75</v>
      </c>
      <c r="K48" s="18">
        <f t="shared" si="6"/>
        <v>-998.86073919717353</v>
      </c>
      <c r="L48" s="15">
        <f t="shared" si="2"/>
        <v>-87.496453886955948</v>
      </c>
      <c r="M48" s="18">
        <f t="shared" si="3"/>
        <v>-265.14076935441199</v>
      </c>
      <c r="N48" s="18">
        <f t="shared" si="7"/>
        <v>-727.27272727272759</v>
      </c>
      <c r="O48" s="18">
        <f t="shared" si="8"/>
        <v>-1000</v>
      </c>
      <c r="P48" s="16">
        <f t="shared" si="13"/>
        <v>0</v>
      </c>
    </row>
    <row r="49" spans="7:16" x14ac:dyDescent="0.25">
      <c r="I49">
        <f t="shared" si="11"/>
        <v>1</v>
      </c>
      <c r="J49">
        <f t="shared" si="14"/>
        <v>2.75</v>
      </c>
      <c r="K49" s="18">
        <f t="shared" si="6"/>
        <v>-998.86073919717353</v>
      </c>
      <c r="L49" s="15">
        <f t="shared" si="2"/>
        <v>-87.496453886955948</v>
      </c>
      <c r="M49" s="18">
        <f t="shared" si="3"/>
        <v>-265.14076935441199</v>
      </c>
      <c r="N49" s="18">
        <f t="shared" si="7"/>
        <v>-727.27272727272759</v>
      </c>
      <c r="O49" s="18">
        <f t="shared" si="8"/>
        <v>-1000</v>
      </c>
      <c r="P49" s="16">
        <f t="shared" si="13"/>
        <v>0</v>
      </c>
    </row>
    <row r="50" spans="7:16" x14ac:dyDescent="0.25">
      <c r="G50" t="s">
        <v>51</v>
      </c>
      <c r="I50">
        <f t="shared" si="11"/>
        <v>2</v>
      </c>
      <c r="J50">
        <f t="shared" si="14"/>
        <v>2.75</v>
      </c>
      <c r="K50" s="18">
        <f t="shared" si="6"/>
        <v>-998.86073919717353</v>
      </c>
      <c r="L50" s="15">
        <f t="shared" si="2"/>
        <v>-87.496453886955948</v>
      </c>
      <c r="M50" s="18">
        <f t="shared" si="3"/>
        <v>-265.14076935441199</v>
      </c>
      <c r="N50" s="18">
        <f t="shared" si="7"/>
        <v>-727.27272727272759</v>
      </c>
      <c r="O50" s="18">
        <f t="shared" si="8"/>
        <v>-1000</v>
      </c>
      <c r="P50" s="16">
        <f t="shared" si="13"/>
        <v>0</v>
      </c>
    </row>
    <row r="51" spans="7:16" x14ac:dyDescent="0.25">
      <c r="G51" t="s">
        <v>52</v>
      </c>
      <c r="I51">
        <f t="shared" si="11"/>
        <v>3</v>
      </c>
      <c r="J51">
        <f t="shared" si="14"/>
        <v>2.75</v>
      </c>
      <c r="K51" s="18">
        <f t="shared" si="6"/>
        <v>-998.86073919717353</v>
      </c>
      <c r="L51" s="15">
        <f t="shared" si="2"/>
        <v>-87.496453886955948</v>
      </c>
      <c r="M51" s="18">
        <f t="shared" si="3"/>
        <v>-265.14076935441199</v>
      </c>
      <c r="N51" s="18">
        <f t="shared" si="7"/>
        <v>-727.27272727272759</v>
      </c>
      <c r="O51" s="18">
        <f t="shared" si="8"/>
        <v>-1000</v>
      </c>
      <c r="P51" s="16">
        <f t="shared" si="13"/>
        <v>0</v>
      </c>
    </row>
    <row r="52" spans="7:16" x14ac:dyDescent="0.25">
      <c r="G52" s="15">
        <f>SUM(G6:G12)</f>
        <v>8000</v>
      </c>
      <c r="H52" t="s">
        <v>8</v>
      </c>
      <c r="I52">
        <f t="shared" si="11"/>
        <v>4</v>
      </c>
      <c r="J52">
        <f t="shared" si="14"/>
        <v>2.75</v>
      </c>
      <c r="K52" s="18">
        <f t="shared" si="6"/>
        <v>-998.86073919717353</v>
      </c>
      <c r="L52" s="15">
        <f t="shared" si="2"/>
        <v>-87.496453886955948</v>
      </c>
      <c r="M52" s="18">
        <f t="shared" si="3"/>
        <v>-265.14076935441199</v>
      </c>
      <c r="N52" s="18">
        <f t="shared" si="7"/>
        <v>-727.27272727272759</v>
      </c>
      <c r="O52" s="18">
        <f t="shared" si="8"/>
        <v>-1000</v>
      </c>
      <c r="P52" s="16">
        <f t="shared" si="13"/>
        <v>0</v>
      </c>
    </row>
    <row r="53" spans="7:16" x14ac:dyDescent="0.25">
      <c r="G53" t="s">
        <v>53</v>
      </c>
      <c r="I53">
        <f t="shared" si="11"/>
        <v>5</v>
      </c>
      <c r="J53">
        <f t="shared" si="14"/>
        <v>2.75</v>
      </c>
      <c r="K53" s="18">
        <f t="shared" si="6"/>
        <v>-998.86073919717353</v>
      </c>
      <c r="L53" s="15">
        <f t="shared" si="2"/>
        <v>-87.496453886955948</v>
      </c>
      <c r="M53" s="18">
        <f t="shared" si="3"/>
        <v>-265.14076935441199</v>
      </c>
      <c r="N53" s="18">
        <f t="shared" si="7"/>
        <v>-727.27272727272759</v>
      </c>
      <c r="O53" s="18">
        <f t="shared" si="8"/>
        <v>-1000</v>
      </c>
      <c r="P53" s="16">
        <f t="shared" si="13"/>
        <v>0</v>
      </c>
    </row>
    <row r="54" spans="7:16" x14ac:dyDescent="0.25">
      <c r="G54" s="15">
        <f>-SUM(P4:P115)</f>
        <v>7999.9548376733055</v>
      </c>
      <c r="H54" t="s">
        <v>8</v>
      </c>
      <c r="I54">
        <f t="shared" si="11"/>
        <v>6</v>
      </c>
      <c r="J54">
        <f t="shared" si="14"/>
        <v>2.75</v>
      </c>
      <c r="K54" s="18">
        <f t="shared" si="6"/>
        <v>-998.86073919717353</v>
      </c>
      <c r="L54" s="15">
        <f t="shared" si="2"/>
        <v>-87.496453886955948</v>
      </c>
      <c r="M54" s="18">
        <f t="shared" si="3"/>
        <v>-265.14076935441199</v>
      </c>
      <c r="N54" s="18">
        <f t="shared" si="7"/>
        <v>-727.27272727272759</v>
      </c>
      <c r="O54" s="18">
        <f t="shared" si="8"/>
        <v>-1000</v>
      </c>
      <c r="P54" s="16">
        <f t="shared" si="13"/>
        <v>0</v>
      </c>
    </row>
    <row r="55" spans="7:16" x14ac:dyDescent="0.25">
      <c r="I55">
        <f t="shared" si="11"/>
        <v>7</v>
      </c>
      <c r="J55">
        <f t="shared" si="14"/>
        <v>2.75</v>
      </c>
      <c r="K55" s="18">
        <f t="shared" si="6"/>
        <v>-998.86073919717353</v>
      </c>
      <c r="L55" s="15">
        <f t="shared" si="2"/>
        <v>-87.496453886955948</v>
      </c>
      <c r="M55" s="18">
        <f t="shared" si="3"/>
        <v>-265.14076935441199</v>
      </c>
      <c r="N55" s="18">
        <f t="shared" si="7"/>
        <v>-727.27272727272759</v>
      </c>
      <c r="O55" s="18">
        <f t="shared" si="8"/>
        <v>-1000</v>
      </c>
      <c r="P55" s="16">
        <f t="shared" si="13"/>
        <v>0</v>
      </c>
    </row>
    <row r="56" spans="7:16" x14ac:dyDescent="0.25">
      <c r="I56">
        <f t="shared" si="11"/>
        <v>8</v>
      </c>
      <c r="J56">
        <f t="shared" si="14"/>
        <v>2.75</v>
      </c>
      <c r="K56" s="18">
        <f t="shared" si="6"/>
        <v>-998.86073919717353</v>
      </c>
      <c r="L56" s="15">
        <f t="shared" si="2"/>
        <v>-87.496453886955948</v>
      </c>
      <c r="M56" s="18">
        <f t="shared" si="3"/>
        <v>-265.14076935441199</v>
      </c>
      <c r="N56" s="18">
        <f t="shared" si="7"/>
        <v>-727.27272727272759</v>
      </c>
      <c r="O56" s="18">
        <f t="shared" si="8"/>
        <v>-1000</v>
      </c>
      <c r="P56" s="16">
        <f t="shared" si="13"/>
        <v>0</v>
      </c>
    </row>
    <row r="57" spans="7:16" x14ac:dyDescent="0.25">
      <c r="I57">
        <f t="shared" si="11"/>
        <v>9</v>
      </c>
      <c r="J57">
        <f t="shared" si="14"/>
        <v>2.75</v>
      </c>
      <c r="K57" s="18">
        <f t="shared" si="6"/>
        <v>-998.86073919717353</v>
      </c>
      <c r="L57" s="15">
        <f t="shared" si="2"/>
        <v>-87.496453886955948</v>
      </c>
      <c r="M57" s="18">
        <f t="shared" si="3"/>
        <v>-265.14076935441199</v>
      </c>
      <c r="N57" s="18">
        <f t="shared" si="7"/>
        <v>-727.27272727272759</v>
      </c>
      <c r="O57" s="18">
        <f t="shared" si="8"/>
        <v>-1000</v>
      </c>
      <c r="P57" s="16">
        <f t="shared" si="13"/>
        <v>0</v>
      </c>
    </row>
    <row r="58" spans="7:16" x14ac:dyDescent="0.25">
      <c r="I58">
        <f t="shared" si="11"/>
        <v>9.5</v>
      </c>
      <c r="J58">
        <f t="shared" si="14"/>
        <v>2.75</v>
      </c>
      <c r="K58" s="18">
        <f t="shared" si="6"/>
        <v>-998.86073919717353</v>
      </c>
      <c r="L58" s="15">
        <f t="shared" si="2"/>
        <v>-87.496453886955948</v>
      </c>
      <c r="M58" s="18">
        <f t="shared" si="3"/>
        <v>-265.14076935441199</v>
      </c>
      <c r="N58" s="18">
        <f t="shared" si="7"/>
        <v>-727.27272727272759</v>
      </c>
      <c r="O58" s="18">
        <f t="shared" si="8"/>
        <v>-1000</v>
      </c>
      <c r="P58" s="16">
        <f t="shared" si="13"/>
        <v>0</v>
      </c>
    </row>
    <row r="59" spans="7:16" x14ac:dyDescent="0.25">
      <c r="I59">
        <f t="shared" si="11"/>
        <v>9.99</v>
      </c>
      <c r="J59">
        <f t="shared" si="14"/>
        <v>2.75</v>
      </c>
      <c r="K59" s="18">
        <f t="shared" si="6"/>
        <v>-998.86073919717353</v>
      </c>
      <c r="L59" s="15">
        <f t="shared" si="2"/>
        <v>-87.496453886955948</v>
      </c>
      <c r="M59" s="18">
        <f t="shared" si="3"/>
        <v>-265.14076935441199</v>
      </c>
      <c r="N59" s="18">
        <f t="shared" si="7"/>
        <v>-727.27272727272759</v>
      </c>
      <c r="O59" s="18">
        <f t="shared" si="8"/>
        <v>-1000</v>
      </c>
      <c r="P59" s="16">
        <f t="shared" si="13"/>
        <v>0</v>
      </c>
    </row>
    <row r="60" spans="7:16" x14ac:dyDescent="0.25">
      <c r="I60">
        <f t="shared" si="11"/>
        <v>10</v>
      </c>
      <c r="J60">
        <f t="shared" si="14"/>
        <v>2.75</v>
      </c>
      <c r="K60" s="18">
        <f t="shared" si="6"/>
        <v>-998.86073919717353</v>
      </c>
      <c r="L60" s="15">
        <f t="shared" si="2"/>
        <v>-87.496453886955948</v>
      </c>
      <c r="M60" s="18">
        <f t="shared" si="3"/>
        <v>-265.14076935441199</v>
      </c>
      <c r="N60" s="18">
        <f t="shared" si="7"/>
        <v>-727.27272727272759</v>
      </c>
      <c r="O60" s="18">
        <f t="shared" si="8"/>
        <v>-1000</v>
      </c>
      <c r="P60" s="16">
        <f t="shared" si="13"/>
        <v>0</v>
      </c>
    </row>
    <row r="61" spans="7:16" x14ac:dyDescent="0.25">
      <c r="I61">
        <f t="shared" si="11"/>
        <v>0.01</v>
      </c>
      <c r="J61">
        <f t="shared" ref="J61:J74" si="15">IF($F$10=0,J60,$J$60+($F$10-$J$60)/10*I61)</f>
        <v>2.75</v>
      </c>
      <c r="K61" s="18">
        <f t="shared" si="6"/>
        <v>-998.86073919717353</v>
      </c>
      <c r="L61" s="15">
        <f t="shared" si="2"/>
        <v>-87.496453886955948</v>
      </c>
      <c r="M61" s="18">
        <f t="shared" si="3"/>
        <v>-265.14076935441199</v>
      </c>
      <c r="N61" s="18">
        <f t="shared" si="7"/>
        <v>-727.27272727272759</v>
      </c>
      <c r="O61" s="18">
        <f t="shared" si="8"/>
        <v>-1000</v>
      </c>
      <c r="P61" s="16">
        <f t="shared" si="13"/>
        <v>0</v>
      </c>
    </row>
    <row r="62" spans="7:16" x14ac:dyDescent="0.25">
      <c r="I62">
        <f t="shared" si="11"/>
        <v>0.5</v>
      </c>
      <c r="J62">
        <f t="shared" si="15"/>
        <v>2.75</v>
      </c>
      <c r="K62" s="18">
        <f t="shared" si="6"/>
        <v>-998.86073919717353</v>
      </c>
      <c r="L62" s="15">
        <f t="shared" si="2"/>
        <v>-87.496453886955948</v>
      </c>
      <c r="M62" s="18">
        <f t="shared" si="3"/>
        <v>-265.14076935441199</v>
      </c>
      <c r="N62" s="18">
        <f t="shared" si="7"/>
        <v>-727.27272727272759</v>
      </c>
      <c r="O62" s="18">
        <f t="shared" si="8"/>
        <v>-1000</v>
      </c>
      <c r="P62" s="16">
        <f t="shared" si="13"/>
        <v>0</v>
      </c>
    </row>
    <row r="63" spans="7:16" x14ac:dyDescent="0.25">
      <c r="I63">
        <f t="shared" si="11"/>
        <v>1</v>
      </c>
      <c r="J63">
        <f t="shared" si="15"/>
        <v>2.75</v>
      </c>
      <c r="K63" s="18">
        <f t="shared" si="6"/>
        <v>-998.86073919717353</v>
      </c>
      <c r="L63" s="15">
        <f t="shared" si="2"/>
        <v>-87.496453886955948</v>
      </c>
      <c r="M63" s="18">
        <f t="shared" si="3"/>
        <v>-265.14076935441199</v>
      </c>
      <c r="N63" s="18">
        <f t="shared" si="7"/>
        <v>-727.27272727272759</v>
      </c>
      <c r="O63" s="18">
        <f t="shared" si="8"/>
        <v>-1000</v>
      </c>
      <c r="P63" s="16">
        <f t="shared" si="13"/>
        <v>0</v>
      </c>
    </row>
    <row r="64" spans="7:16" x14ac:dyDescent="0.25">
      <c r="I64">
        <f t="shared" si="11"/>
        <v>2</v>
      </c>
      <c r="J64">
        <f t="shared" si="15"/>
        <v>2.75</v>
      </c>
      <c r="K64" s="18">
        <f t="shared" si="6"/>
        <v>-998.86073919717353</v>
      </c>
      <c r="L64" s="15">
        <f t="shared" si="2"/>
        <v>-87.496453886955948</v>
      </c>
      <c r="M64" s="18">
        <f t="shared" si="3"/>
        <v>-265.14076935441199</v>
      </c>
      <c r="N64" s="18">
        <f t="shared" si="7"/>
        <v>-727.27272727272759</v>
      </c>
      <c r="O64" s="18">
        <f t="shared" si="8"/>
        <v>-1000</v>
      </c>
      <c r="P64" s="16">
        <f t="shared" si="13"/>
        <v>0</v>
      </c>
    </row>
    <row r="65" spans="9:16" x14ac:dyDescent="0.25">
      <c r="I65">
        <f t="shared" si="11"/>
        <v>3</v>
      </c>
      <c r="J65">
        <f t="shared" si="15"/>
        <v>2.75</v>
      </c>
      <c r="K65" s="18">
        <f t="shared" si="6"/>
        <v>-998.86073919717353</v>
      </c>
      <c r="L65" s="15">
        <f t="shared" si="2"/>
        <v>-87.496453886955948</v>
      </c>
      <c r="M65" s="18">
        <f t="shared" si="3"/>
        <v>-265.14076935441199</v>
      </c>
      <c r="N65" s="18">
        <f t="shared" si="7"/>
        <v>-727.27272727272759</v>
      </c>
      <c r="O65" s="18">
        <f t="shared" si="8"/>
        <v>-1000</v>
      </c>
      <c r="P65" s="16">
        <f t="shared" si="13"/>
        <v>0</v>
      </c>
    </row>
    <row r="66" spans="9:16" x14ac:dyDescent="0.25">
      <c r="I66">
        <f t="shared" si="11"/>
        <v>4</v>
      </c>
      <c r="J66">
        <f t="shared" si="15"/>
        <v>2.75</v>
      </c>
      <c r="K66" s="18">
        <f t="shared" si="6"/>
        <v>-998.86073919717353</v>
      </c>
      <c r="L66" s="15">
        <f t="shared" si="2"/>
        <v>-87.496453886955948</v>
      </c>
      <c r="M66" s="18">
        <f t="shared" si="3"/>
        <v>-265.14076935441199</v>
      </c>
      <c r="N66" s="18">
        <f t="shared" si="7"/>
        <v>-727.27272727272759</v>
      </c>
      <c r="O66" s="18">
        <f t="shared" si="8"/>
        <v>-1000</v>
      </c>
      <c r="P66" s="16">
        <f t="shared" si="13"/>
        <v>0</v>
      </c>
    </row>
    <row r="67" spans="9:16" x14ac:dyDescent="0.25">
      <c r="I67">
        <f t="shared" si="11"/>
        <v>5</v>
      </c>
      <c r="J67">
        <f t="shared" si="15"/>
        <v>2.75</v>
      </c>
      <c r="K67" s="18">
        <f t="shared" si="6"/>
        <v>-998.86073919717353</v>
      </c>
      <c r="L67" s="15">
        <f t="shared" si="2"/>
        <v>-87.496453886955948</v>
      </c>
      <c r="M67" s="18">
        <f t="shared" si="3"/>
        <v>-265.14076935441199</v>
      </c>
      <c r="N67" s="18">
        <f t="shared" si="7"/>
        <v>-727.27272727272759</v>
      </c>
      <c r="O67" s="18">
        <f t="shared" si="8"/>
        <v>-1000</v>
      </c>
      <c r="P67" s="16">
        <f t="shared" si="13"/>
        <v>0</v>
      </c>
    </row>
    <row r="68" spans="9:16" x14ac:dyDescent="0.25">
      <c r="I68">
        <f t="shared" si="11"/>
        <v>6</v>
      </c>
      <c r="J68">
        <f t="shared" si="15"/>
        <v>2.75</v>
      </c>
      <c r="K68" s="18">
        <f t="shared" si="6"/>
        <v>-998.86073919717353</v>
      </c>
      <c r="L68" s="15">
        <f t="shared" si="2"/>
        <v>-87.496453886955948</v>
      </c>
      <c r="M68" s="18">
        <f t="shared" si="3"/>
        <v>-265.14076935441199</v>
      </c>
      <c r="N68" s="18">
        <f t="shared" si="7"/>
        <v>-727.27272727272759</v>
      </c>
      <c r="O68" s="18">
        <f t="shared" si="8"/>
        <v>-1000</v>
      </c>
      <c r="P68" s="16">
        <f t="shared" ref="P68:P99" si="16">(M69+M68)/2*(J69-J68)*$B$5</f>
        <v>0</v>
      </c>
    </row>
    <row r="69" spans="9:16" x14ac:dyDescent="0.25">
      <c r="I69">
        <f t="shared" si="11"/>
        <v>7</v>
      </c>
      <c r="J69">
        <f t="shared" si="15"/>
        <v>2.75</v>
      </c>
      <c r="K69" s="18">
        <f t="shared" si="6"/>
        <v>-998.86073919717353</v>
      </c>
      <c r="L69" s="15">
        <f t="shared" ref="L69:L116" si="17">Biegelinie(J69,$B$4,$B$5,$B$15*1000,$B$10*1000,$F$6:$F$12,$G$6:$G$12)*1000</f>
        <v>-87.496453886955948</v>
      </c>
      <c r="M69" s="18">
        <f t="shared" ref="M69:M116" si="18">L69*$B$13</f>
        <v>-265.14076935441199</v>
      </c>
      <c r="N69" s="18">
        <f t="shared" si="7"/>
        <v>-727.27272727272759</v>
      </c>
      <c r="O69" s="18">
        <f t="shared" si="8"/>
        <v>-1000</v>
      </c>
      <c r="P69" s="16">
        <f t="shared" si="16"/>
        <v>0</v>
      </c>
    </row>
    <row r="70" spans="9:16" x14ac:dyDescent="0.25">
      <c r="I70">
        <f t="shared" si="11"/>
        <v>8</v>
      </c>
      <c r="J70">
        <f t="shared" si="15"/>
        <v>2.75</v>
      </c>
      <c r="K70" s="18">
        <f t="shared" si="6"/>
        <v>-998.86073919717353</v>
      </c>
      <c r="L70" s="15">
        <f t="shared" si="17"/>
        <v>-87.496453886955948</v>
      </c>
      <c r="M70" s="18">
        <f t="shared" si="18"/>
        <v>-265.14076935441199</v>
      </c>
      <c r="N70" s="18">
        <f t="shared" si="7"/>
        <v>-727.27272727272759</v>
      </c>
      <c r="O70" s="18">
        <f t="shared" si="8"/>
        <v>-1000</v>
      </c>
      <c r="P70" s="16">
        <f t="shared" si="16"/>
        <v>0</v>
      </c>
    </row>
    <row r="71" spans="9:16" x14ac:dyDescent="0.25">
      <c r="I71">
        <f t="shared" si="11"/>
        <v>9</v>
      </c>
      <c r="J71">
        <f t="shared" si="15"/>
        <v>2.75</v>
      </c>
      <c r="K71" s="18">
        <f t="shared" si="6"/>
        <v>-998.86073919717353</v>
      </c>
      <c r="L71" s="15">
        <f t="shared" si="17"/>
        <v>-87.496453886955948</v>
      </c>
      <c r="M71" s="18">
        <f t="shared" si="18"/>
        <v>-265.14076935441199</v>
      </c>
      <c r="N71" s="18">
        <f t="shared" si="7"/>
        <v>-727.27272727272759</v>
      </c>
      <c r="O71" s="18">
        <f t="shared" si="8"/>
        <v>-1000</v>
      </c>
      <c r="P71" s="16">
        <f t="shared" si="16"/>
        <v>0</v>
      </c>
    </row>
    <row r="72" spans="9:16" x14ac:dyDescent="0.25">
      <c r="I72">
        <f t="shared" si="11"/>
        <v>9.5</v>
      </c>
      <c r="J72">
        <f t="shared" si="15"/>
        <v>2.75</v>
      </c>
      <c r="K72" s="18">
        <f t="shared" si="6"/>
        <v>-998.86073919717353</v>
      </c>
      <c r="L72" s="15">
        <f t="shared" si="17"/>
        <v>-87.496453886955948</v>
      </c>
      <c r="M72" s="18">
        <f t="shared" si="18"/>
        <v>-265.14076935441199</v>
      </c>
      <c r="N72" s="18">
        <f t="shared" si="7"/>
        <v>-727.27272727272759</v>
      </c>
      <c r="O72" s="18">
        <f t="shared" si="8"/>
        <v>-1000</v>
      </c>
      <c r="P72" s="16">
        <f t="shared" si="16"/>
        <v>0</v>
      </c>
    </row>
    <row r="73" spans="9:16" x14ac:dyDescent="0.25">
      <c r="I73">
        <f t="shared" si="11"/>
        <v>9.99</v>
      </c>
      <c r="J73">
        <f t="shared" si="15"/>
        <v>2.75</v>
      </c>
      <c r="K73" s="18">
        <f t="shared" ref="K73:K116" si="19">Moment(J73,$B$4,$B$5,$B$15*1000,$B$10*1000,$F$6:$F$12,$G$6:$G$12)</f>
        <v>-998.86073919717353</v>
      </c>
      <c r="L73" s="15">
        <f t="shared" si="17"/>
        <v>-87.496453886955948</v>
      </c>
      <c r="M73" s="18">
        <f t="shared" si="18"/>
        <v>-265.14076935441199</v>
      </c>
      <c r="N73" s="18">
        <f t="shared" ref="N73:N116" si="20">Querkraft(J73,$B$4,$B$5,$B$15*1000,$B$10*1000,$F$6:$F$12,$G$6:$G$12)/$B$5</f>
        <v>-727.27272727272759</v>
      </c>
      <c r="O73" s="18">
        <f t="shared" ref="O73:O116" si="21">Moment(J73,$B$4,$B$5,$B$15*1000,$B$10*1000,$F$6:$F$12,$G$6:$G$12,TRUE)</f>
        <v>-1000</v>
      </c>
      <c r="P73" s="16">
        <f t="shared" si="16"/>
        <v>0</v>
      </c>
    </row>
    <row r="74" spans="9:16" x14ac:dyDescent="0.25">
      <c r="I74">
        <f t="shared" si="11"/>
        <v>10</v>
      </c>
      <c r="J74">
        <f t="shared" si="15"/>
        <v>2.75</v>
      </c>
      <c r="K74" s="18">
        <f t="shared" si="19"/>
        <v>-998.86073919717353</v>
      </c>
      <c r="L74" s="15">
        <f t="shared" si="17"/>
        <v>-87.496453886955948</v>
      </c>
      <c r="M74" s="18">
        <f t="shared" si="18"/>
        <v>-265.14076935441199</v>
      </c>
      <c r="N74" s="18">
        <f t="shared" si="20"/>
        <v>-727.27272727272759</v>
      </c>
      <c r="O74" s="18">
        <f t="shared" si="21"/>
        <v>-1000</v>
      </c>
      <c r="P74" s="16">
        <f t="shared" si="16"/>
        <v>0</v>
      </c>
    </row>
    <row r="75" spans="9:16" x14ac:dyDescent="0.25">
      <c r="I75">
        <f t="shared" si="11"/>
        <v>0.01</v>
      </c>
      <c r="J75">
        <f t="shared" ref="J75:J88" si="22">IF($F$11=0,J74,$J$74+($F$11-$J$74)/10*I75)</f>
        <v>2.75</v>
      </c>
      <c r="K75" s="18">
        <f t="shared" si="19"/>
        <v>-998.86073919717353</v>
      </c>
      <c r="L75" s="15">
        <f t="shared" si="17"/>
        <v>-87.496453886955948</v>
      </c>
      <c r="M75" s="18">
        <f t="shared" si="18"/>
        <v>-265.14076935441199</v>
      </c>
      <c r="N75" s="18">
        <f t="shared" si="20"/>
        <v>-727.27272727272759</v>
      </c>
      <c r="O75" s="18">
        <f t="shared" si="21"/>
        <v>-1000</v>
      </c>
      <c r="P75" s="16">
        <f t="shared" si="16"/>
        <v>0</v>
      </c>
    </row>
    <row r="76" spans="9:16" x14ac:dyDescent="0.25">
      <c r="I76">
        <f t="shared" si="11"/>
        <v>0.5</v>
      </c>
      <c r="J76">
        <f t="shared" si="22"/>
        <v>2.75</v>
      </c>
      <c r="K76" s="18">
        <f t="shared" si="19"/>
        <v>-998.86073919717353</v>
      </c>
      <c r="L76" s="15">
        <f t="shared" si="17"/>
        <v>-87.496453886955948</v>
      </c>
      <c r="M76" s="18">
        <f t="shared" si="18"/>
        <v>-265.14076935441199</v>
      </c>
      <c r="N76" s="18">
        <f t="shared" si="20"/>
        <v>-727.27272727272759</v>
      </c>
      <c r="O76" s="18">
        <f t="shared" si="21"/>
        <v>-1000</v>
      </c>
      <c r="P76" s="16">
        <f t="shared" si="16"/>
        <v>0</v>
      </c>
    </row>
    <row r="77" spans="9:16" x14ac:dyDescent="0.25">
      <c r="I77">
        <f t="shared" si="11"/>
        <v>1</v>
      </c>
      <c r="J77">
        <f t="shared" si="22"/>
        <v>2.75</v>
      </c>
      <c r="K77" s="18">
        <f t="shared" si="19"/>
        <v>-998.86073919717353</v>
      </c>
      <c r="L77" s="15">
        <f t="shared" si="17"/>
        <v>-87.496453886955948</v>
      </c>
      <c r="M77" s="18">
        <f t="shared" si="18"/>
        <v>-265.14076935441199</v>
      </c>
      <c r="N77" s="18">
        <f t="shared" si="20"/>
        <v>-727.27272727272759</v>
      </c>
      <c r="O77" s="18">
        <f t="shared" si="21"/>
        <v>-1000</v>
      </c>
      <c r="P77" s="16">
        <f t="shared" si="16"/>
        <v>0</v>
      </c>
    </row>
    <row r="78" spans="9:16" x14ac:dyDescent="0.25">
      <c r="I78">
        <f t="shared" si="11"/>
        <v>2</v>
      </c>
      <c r="J78">
        <f t="shared" si="22"/>
        <v>2.75</v>
      </c>
      <c r="K78" s="18">
        <f t="shared" si="19"/>
        <v>-998.86073919717353</v>
      </c>
      <c r="L78" s="15">
        <f t="shared" si="17"/>
        <v>-87.496453886955948</v>
      </c>
      <c r="M78" s="18">
        <f t="shared" si="18"/>
        <v>-265.14076935441199</v>
      </c>
      <c r="N78" s="18">
        <f t="shared" si="20"/>
        <v>-727.27272727272759</v>
      </c>
      <c r="O78" s="18">
        <f t="shared" si="21"/>
        <v>-1000</v>
      </c>
      <c r="P78" s="16">
        <f t="shared" si="16"/>
        <v>0</v>
      </c>
    </row>
    <row r="79" spans="9:16" x14ac:dyDescent="0.25">
      <c r="I79">
        <f t="shared" si="11"/>
        <v>3</v>
      </c>
      <c r="J79">
        <f t="shared" si="22"/>
        <v>2.75</v>
      </c>
      <c r="K79" s="18">
        <f t="shared" si="19"/>
        <v>-998.86073919717353</v>
      </c>
      <c r="L79" s="15">
        <f t="shared" si="17"/>
        <v>-87.496453886955948</v>
      </c>
      <c r="M79" s="18">
        <f t="shared" si="18"/>
        <v>-265.14076935441199</v>
      </c>
      <c r="N79" s="18">
        <f t="shared" si="20"/>
        <v>-727.27272727272759</v>
      </c>
      <c r="O79" s="18">
        <f t="shared" si="21"/>
        <v>-1000</v>
      </c>
      <c r="P79" s="16">
        <f t="shared" si="16"/>
        <v>0</v>
      </c>
    </row>
    <row r="80" spans="9:16" x14ac:dyDescent="0.25">
      <c r="I80">
        <f t="shared" si="11"/>
        <v>4</v>
      </c>
      <c r="J80">
        <f t="shared" si="22"/>
        <v>2.75</v>
      </c>
      <c r="K80" s="18">
        <f t="shared" si="19"/>
        <v>-998.86073919717353</v>
      </c>
      <c r="L80" s="15">
        <f t="shared" si="17"/>
        <v>-87.496453886955948</v>
      </c>
      <c r="M80" s="18">
        <f t="shared" si="18"/>
        <v>-265.14076935441199</v>
      </c>
      <c r="N80" s="18">
        <f t="shared" si="20"/>
        <v>-727.27272727272759</v>
      </c>
      <c r="O80" s="18">
        <f t="shared" si="21"/>
        <v>-1000</v>
      </c>
      <c r="P80" s="16">
        <f t="shared" si="16"/>
        <v>0</v>
      </c>
    </row>
    <row r="81" spans="9:16" x14ac:dyDescent="0.25">
      <c r="I81">
        <f t="shared" si="11"/>
        <v>5</v>
      </c>
      <c r="J81">
        <f t="shared" si="22"/>
        <v>2.75</v>
      </c>
      <c r="K81" s="18">
        <f t="shared" si="19"/>
        <v>-998.86073919717353</v>
      </c>
      <c r="L81" s="15">
        <f t="shared" si="17"/>
        <v>-87.496453886955948</v>
      </c>
      <c r="M81" s="18">
        <f t="shared" si="18"/>
        <v>-265.14076935441199</v>
      </c>
      <c r="N81" s="18">
        <f t="shared" si="20"/>
        <v>-727.27272727272759</v>
      </c>
      <c r="O81" s="18">
        <f t="shared" si="21"/>
        <v>-1000</v>
      </c>
      <c r="P81" s="16">
        <f t="shared" si="16"/>
        <v>0</v>
      </c>
    </row>
    <row r="82" spans="9:16" x14ac:dyDescent="0.25">
      <c r="I82">
        <f t="shared" si="11"/>
        <v>6</v>
      </c>
      <c r="J82">
        <f t="shared" si="22"/>
        <v>2.75</v>
      </c>
      <c r="K82" s="18">
        <f t="shared" si="19"/>
        <v>-998.86073919717353</v>
      </c>
      <c r="L82" s="15">
        <f t="shared" si="17"/>
        <v>-87.496453886955948</v>
      </c>
      <c r="M82" s="18">
        <f t="shared" si="18"/>
        <v>-265.14076935441199</v>
      </c>
      <c r="N82" s="18">
        <f t="shared" si="20"/>
        <v>-727.27272727272759</v>
      </c>
      <c r="O82" s="18">
        <f t="shared" si="21"/>
        <v>-1000</v>
      </c>
      <c r="P82" s="16">
        <f t="shared" si="16"/>
        <v>0</v>
      </c>
    </row>
    <row r="83" spans="9:16" x14ac:dyDescent="0.25">
      <c r="I83">
        <f t="shared" si="11"/>
        <v>7</v>
      </c>
      <c r="J83">
        <f t="shared" si="22"/>
        <v>2.75</v>
      </c>
      <c r="K83" s="18">
        <f t="shared" si="19"/>
        <v>-998.86073919717353</v>
      </c>
      <c r="L83" s="15">
        <f t="shared" si="17"/>
        <v>-87.496453886955948</v>
      </c>
      <c r="M83" s="18">
        <f t="shared" si="18"/>
        <v>-265.14076935441199</v>
      </c>
      <c r="N83" s="18">
        <f t="shared" si="20"/>
        <v>-727.27272727272759</v>
      </c>
      <c r="O83" s="18">
        <f t="shared" si="21"/>
        <v>-1000</v>
      </c>
      <c r="P83" s="16">
        <f t="shared" si="16"/>
        <v>0</v>
      </c>
    </row>
    <row r="84" spans="9:16" x14ac:dyDescent="0.25">
      <c r="I84">
        <f t="shared" ref="I84:I88" si="23">I70</f>
        <v>8</v>
      </c>
      <c r="J84">
        <f t="shared" si="22"/>
        <v>2.75</v>
      </c>
      <c r="K84" s="18">
        <f t="shared" si="19"/>
        <v>-998.86073919717353</v>
      </c>
      <c r="L84" s="15">
        <f t="shared" si="17"/>
        <v>-87.496453886955948</v>
      </c>
      <c r="M84" s="18">
        <f t="shared" si="18"/>
        <v>-265.14076935441199</v>
      </c>
      <c r="N84" s="18">
        <f t="shared" si="20"/>
        <v>-727.27272727272759</v>
      </c>
      <c r="O84" s="18">
        <f t="shared" si="21"/>
        <v>-1000</v>
      </c>
      <c r="P84" s="16">
        <f t="shared" si="16"/>
        <v>0</v>
      </c>
    </row>
    <row r="85" spans="9:16" x14ac:dyDescent="0.25">
      <c r="I85">
        <f t="shared" si="23"/>
        <v>9</v>
      </c>
      <c r="J85">
        <f t="shared" si="22"/>
        <v>2.75</v>
      </c>
      <c r="K85" s="18">
        <f t="shared" si="19"/>
        <v>-998.86073919717353</v>
      </c>
      <c r="L85" s="15">
        <f t="shared" si="17"/>
        <v>-87.496453886955948</v>
      </c>
      <c r="M85" s="18">
        <f t="shared" si="18"/>
        <v>-265.14076935441199</v>
      </c>
      <c r="N85" s="18">
        <f t="shared" si="20"/>
        <v>-727.27272727272759</v>
      </c>
      <c r="O85" s="18">
        <f t="shared" si="21"/>
        <v>-1000</v>
      </c>
      <c r="P85" s="16">
        <f t="shared" si="16"/>
        <v>0</v>
      </c>
    </row>
    <row r="86" spans="9:16" x14ac:dyDescent="0.25">
      <c r="I86">
        <f t="shared" si="23"/>
        <v>9.5</v>
      </c>
      <c r="J86">
        <f t="shared" si="22"/>
        <v>2.75</v>
      </c>
      <c r="K86" s="18">
        <f t="shared" si="19"/>
        <v>-998.86073919717353</v>
      </c>
      <c r="L86" s="15">
        <f t="shared" si="17"/>
        <v>-87.496453886955948</v>
      </c>
      <c r="M86" s="18">
        <f t="shared" si="18"/>
        <v>-265.14076935441199</v>
      </c>
      <c r="N86" s="18">
        <f t="shared" si="20"/>
        <v>-727.27272727272759</v>
      </c>
      <c r="O86" s="18">
        <f t="shared" si="21"/>
        <v>-1000</v>
      </c>
      <c r="P86" s="16">
        <f t="shared" si="16"/>
        <v>0</v>
      </c>
    </row>
    <row r="87" spans="9:16" x14ac:dyDescent="0.25">
      <c r="I87">
        <f t="shared" si="23"/>
        <v>9.99</v>
      </c>
      <c r="J87">
        <f t="shared" si="22"/>
        <v>2.75</v>
      </c>
      <c r="K87" s="18">
        <f t="shared" si="19"/>
        <v>-998.86073919717353</v>
      </c>
      <c r="L87" s="15">
        <f t="shared" si="17"/>
        <v>-87.496453886955948</v>
      </c>
      <c r="M87" s="18">
        <f t="shared" si="18"/>
        <v>-265.14076935441199</v>
      </c>
      <c r="N87" s="18">
        <f t="shared" si="20"/>
        <v>-727.27272727272759</v>
      </c>
      <c r="O87" s="18">
        <f t="shared" si="21"/>
        <v>-1000</v>
      </c>
      <c r="P87" s="16">
        <f t="shared" si="16"/>
        <v>0</v>
      </c>
    </row>
    <row r="88" spans="9:16" x14ac:dyDescent="0.25">
      <c r="I88">
        <f t="shared" si="23"/>
        <v>10</v>
      </c>
      <c r="J88">
        <f t="shared" si="22"/>
        <v>2.75</v>
      </c>
      <c r="K88" s="18">
        <f t="shared" si="19"/>
        <v>-998.86073919717353</v>
      </c>
      <c r="L88" s="15">
        <f t="shared" si="17"/>
        <v>-87.496453886955948</v>
      </c>
      <c r="M88" s="18">
        <f t="shared" si="18"/>
        <v>-265.14076935441199</v>
      </c>
      <c r="N88" s="18">
        <f t="shared" si="20"/>
        <v>-727.27272727272759</v>
      </c>
      <c r="O88" s="18">
        <f t="shared" si="21"/>
        <v>-1000</v>
      </c>
      <c r="P88" s="16">
        <f t="shared" si="16"/>
        <v>0</v>
      </c>
    </row>
    <row r="89" spans="9:16" x14ac:dyDescent="0.25">
      <c r="I89">
        <f>I75</f>
        <v>0.01</v>
      </c>
      <c r="J89">
        <f t="shared" ref="J89:J102" si="24">IF($F$12=0,J88,$J$88+($F$12-$J$88)/10*I89)</f>
        <v>2.75</v>
      </c>
      <c r="K89" s="18">
        <f t="shared" si="19"/>
        <v>-998.86073919717353</v>
      </c>
      <c r="L89" s="15">
        <f t="shared" si="17"/>
        <v>-87.496453886955948</v>
      </c>
      <c r="M89" s="18">
        <f t="shared" si="18"/>
        <v>-265.14076935441199</v>
      </c>
      <c r="N89" s="18">
        <f t="shared" si="20"/>
        <v>-727.27272727272759</v>
      </c>
      <c r="O89" s="18">
        <f t="shared" si="21"/>
        <v>-1000</v>
      </c>
      <c r="P89" s="16">
        <f t="shared" si="16"/>
        <v>0</v>
      </c>
    </row>
    <row r="90" spans="9:16" x14ac:dyDescent="0.25">
      <c r="I90">
        <f t="shared" ref="I90:I116" si="25">I76</f>
        <v>0.5</v>
      </c>
      <c r="J90">
        <f t="shared" si="24"/>
        <v>2.75</v>
      </c>
      <c r="K90" s="18">
        <f t="shared" si="19"/>
        <v>-998.86073919717353</v>
      </c>
      <c r="L90" s="15">
        <f t="shared" si="17"/>
        <v>-87.496453886955948</v>
      </c>
      <c r="M90" s="18">
        <f t="shared" si="18"/>
        <v>-265.14076935441199</v>
      </c>
      <c r="N90" s="18">
        <f t="shared" si="20"/>
        <v>-727.27272727272759</v>
      </c>
      <c r="O90" s="18">
        <f t="shared" si="21"/>
        <v>-1000</v>
      </c>
      <c r="P90" s="16">
        <f t="shared" si="16"/>
        <v>0</v>
      </c>
    </row>
    <row r="91" spans="9:16" x14ac:dyDescent="0.25">
      <c r="I91">
        <f t="shared" si="25"/>
        <v>1</v>
      </c>
      <c r="J91">
        <f t="shared" si="24"/>
        <v>2.75</v>
      </c>
      <c r="K91" s="18">
        <f t="shared" si="19"/>
        <v>-998.86073919717353</v>
      </c>
      <c r="L91" s="15">
        <f t="shared" si="17"/>
        <v>-87.496453886955948</v>
      </c>
      <c r="M91" s="18">
        <f t="shared" si="18"/>
        <v>-265.14076935441199</v>
      </c>
      <c r="N91" s="18">
        <f t="shared" si="20"/>
        <v>-727.27272727272759</v>
      </c>
      <c r="O91" s="18">
        <f t="shared" si="21"/>
        <v>-1000</v>
      </c>
      <c r="P91" s="16">
        <f t="shared" si="16"/>
        <v>0</v>
      </c>
    </row>
    <row r="92" spans="9:16" x14ac:dyDescent="0.25">
      <c r="I92">
        <f t="shared" si="25"/>
        <v>2</v>
      </c>
      <c r="J92">
        <f t="shared" si="24"/>
        <v>2.75</v>
      </c>
      <c r="K92" s="18">
        <f t="shared" si="19"/>
        <v>-998.86073919717353</v>
      </c>
      <c r="L92" s="15">
        <f t="shared" si="17"/>
        <v>-87.496453886955948</v>
      </c>
      <c r="M92" s="18">
        <f t="shared" si="18"/>
        <v>-265.14076935441199</v>
      </c>
      <c r="N92" s="18">
        <f t="shared" si="20"/>
        <v>-727.27272727272759</v>
      </c>
      <c r="O92" s="18">
        <f t="shared" si="21"/>
        <v>-1000</v>
      </c>
      <c r="P92" s="16">
        <f t="shared" si="16"/>
        <v>0</v>
      </c>
    </row>
    <row r="93" spans="9:16" x14ac:dyDescent="0.25">
      <c r="I93">
        <f t="shared" si="25"/>
        <v>3</v>
      </c>
      <c r="J93">
        <f t="shared" si="24"/>
        <v>2.75</v>
      </c>
      <c r="K93" s="18">
        <f t="shared" si="19"/>
        <v>-998.86073919717353</v>
      </c>
      <c r="L93" s="15">
        <f t="shared" si="17"/>
        <v>-87.496453886955948</v>
      </c>
      <c r="M93" s="18">
        <f t="shared" si="18"/>
        <v>-265.14076935441199</v>
      </c>
      <c r="N93" s="18">
        <f t="shared" si="20"/>
        <v>-727.27272727272759</v>
      </c>
      <c r="O93" s="18">
        <f t="shared" si="21"/>
        <v>-1000</v>
      </c>
      <c r="P93" s="16">
        <f t="shared" si="16"/>
        <v>0</v>
      </c>
    </row>
    <row r="94" spans="9:16" x14ac:dyDescent="0.25">
      <c r="I94">
        <f t="shared" si="25"/>
        <v>4</v>
      </c>
      <c r="J94">
        <f t="shared" si="24"/>
        <v>2.75</v>
      </c>
      <c r="K94" s="18">
        <f t="shared" si="19"/>
        <v>-998.86073919717353</v>
      </c>
      <c r="L94" s="15">
        <f t="shared" si="17"/>
        <v>-87.496453886955948</v>
      </c>
      <c r="M94" s="18">
        <f t="shared" si="18"/>
        <v>-265.14076935441199</v>
      </c>
      <c r="N94" s="18">
        <f t="shared" si="20"/>
        <v>-727.27272727272759</v>
      </c>
      <c r="O94" s="18">
        <f t="shared" si="21"/>
        <v>-1000</v>
      </c>
      <c r="P94" s="16">
        <f t="shared" si="16"/>
        <v>0</v>
      </c>
    </row>
    <row r="95" spans="9:16" x14ac:dyDescent="0.25">
      <c r="I95">
        <f t="shared" si="25"/>
        <v>5</v>
      </c>
      <c r="J95">
        <f t="shared" si="24"/>
        <v>2.75</v>
      </c>
      <c r="K95" s="18">
        <f t="shared" si="19"/>
        <v>-998.86073919717353</v>
      </c>
      <c r="L95" s="15">
        <f t="shared" si="17"/>
        <v>-87.496453886955948</v>
      </c>
      <c r="M95" s="18">
        <f t="shared" si="18"/>
        <v>-265.14076935441199</v>
      </c>
      <c r="N95" s="18">
        <f t="shared" si="20"/>
        <v>-727.27272727272759</v>
      </c>
      <c r="O95" s="18">
        <f t="shared" si="21"/>
        <v>-1000</v>
      </c>
      <c r="P95" s="16">
        <f t="shared" si="16"/>
        <v>0</v>
      </c>
    </row>
    <row r="96" spans="9:16" x14ac:dyDescent="0.25">
      <c r="I96">
        <f t="shared" si="25"/>
        <v>6</v>
      </c>
      <c r="J96">
        <f t="shared" si="24"/>
        <v>2.75</v>
      </c>
      <c r="K96" s="18">
        <f t="shared" si="19"/>
        <v>-998.86073919717353</v>
      </c>
      <c r="L96" s="15">
        <f t="shared" si="17"/>
        <v>-87.496453886955948</v>
      </c>
      <c r="M96" s="18">
        <f t="shared" si="18"/>
        <v>-265.14076935441199</v>
      </c>
      <c r="N96" s="18">
        <f t="shared" si="20"/>
        <v>-727.27272727272759</v>
      </c>
      <c r="O96" s="18">
        <f t="shared" si="21"/>
        <v>-1000</v>
      </c>
      <c r="P96" s="16">
        <f t="shared" si="16"/>
        <v>0</v>
      </c>
    </row>
    <row r="97" spans="9:16" x14ac:dyDescent="0.25">
      <c r="I97">
        <f t="shared" si="25"/>
        <v>7</v>
      </c>
      <c r="J97">
        <f t="shared" si="24"/>
        <v>2.75</v>
      </c>
      <c r="K97" s="18">
        <f t="shared" si="19"/>
        <v>-998.86073919717353</v>
      </c>
      <c r="L97" s="15">
        <f t="shared" si="17"/>
        <v>-87.496453886955948</v>
      </c>
      <c r="M97" s="18">
        <f t="shared" si="18"/>
        <v>-265.14076935441199</v>
      </c>
      <c r="N97" s="18">
        <f t="shared" si="20"/>
        <v>-727.27272727272759</v>
      </c>
      <c r="O97" s="18">
        <f t="shared" si="21"/>
        <v>-1000</v>
      </c>
      <c r="P97" s="16">
        <f t="shared" si="16"/>
        <v>0</v>
      </c>
    </row>
    <row r="98" spans="9:16" x14ac:dyDescent="0.25">
      <c r="I98">
        <f t="shared" si="25"/>
        <v>8</v>
      </c>
      <c r="J98">
        <f t="shared" si="24"/>
        <v>2.75</v>
      </c>
      <c r="K98" s="18">
        <f t="shared" si="19"/>
        <v>-998.86073919717353</v>
      </c>
      <c r="L98" s="15">
        <f t="shared" si="17"/>
        <v>-87.496453886955948</v>
      </c>
      <c r="M98" s="18">
        <f t="shared" si="18"/>
        <v>-265.14076935441199</v>
      </c>
      <c r="N98" s="18">
        <f t="shared" si="20"/>
        <v>-727.27272727272759</v>
      </c>
      <c r="O98" s="18">
        <f t="shared" si="21"/>
        <v>-1000</v>
      </c>
      <c r="P98" s="16">
        <f t="shared" si="16"/>
        <v>0</v>
      </c>
    </row>
    <row r="99" spans="9:16" x14ac:dyDescent="0.25">
      <c r="I99">
        <f t="shared" si="25"/>
        <v>9</v>
      </c>
      <c r="J99">
        <f t="shared" si="24"/>
        <v>2.75</v>
      </c>
      <c r="K99" s="18">
        <f t="shared" si="19"/>
        <v>-998.86073919717353</v>
      </c>
      <c r="L99" s="15">
        <f t="shared" si="17"/>
        <v>-87.496453886955948</v>
      </c>
      <c r="M99" s="18">
        <f t="shared" si="18"/>
        <v>-265.14076935441199</v>
      </c>
      <c r="N99" s="18">
        <f t="shared" si="20"/>
        <v>-727.27272727272759</v>
      </c>
      <c r="O99" s="18">
        <f t="shared" si="21"/>
        <v>-1000</v>
      </c>
      <c r="P99" s="16">
        <f t="shared" si="16"/>
        <v>0</v>
      </c>
    </row>
    <row r="100" spans="9:16" x14ac:dyDescent="0.25">
      <c r="I100">
        <f t="shared" si="25"/>
        <v>9.5</v>
      </c>
      <c r="J100">
        <f t="shared" si="24"/>
        <v>2.75</v>
      </c>
      <c r="K100" s="18">
        <f t="shared" si="19"/>
        <v>-998.86073919717353</v>
      </c>
      <c r="L100" s="15">
        <f t="shared" si="17"/>
        <v>-87.496453886955948</v>
      </c>
      <c r="M100" s="18">
        <f t="shared" si="18"/>
        <v>-265.14076935441199</v>
      </c>
      <c r="N100" s="18">
        <f t="shared" si="20"/>
        <v>-727.27272727272759</v>
      </c>
      <c r="O100" s="18">
        <f t="shared" si="21"/>
        <v>-1000</v>
      </c>
      <c r="P100" s="16">
        <f t="shared" ref="P100:P115" si="26">(M101+M100)/2*(J101-J100)*$B$5</f>
        <v>0</v>
      </c>
    </row>
    <row r="101" spans="9:16" x14ac:dyDescent="0.25">
      <c r="I101">
        <f t="shared" si="25"/>
        <v>9.99</v>
      </c>
      <c r="J101">
        <f t="shared" si="24"/>
        <v>2.75</v>
      </c>
      <c r="K101" s="18">
        <f t="shared" si="19"/>
        <v>-998.86073919717353</v>
      </c>
      <c r="L101" s="15">
        <f t="shared" si="17"/>
        <v>-87.496453886955948</v>
      </c>
      <c r="M101" s="18">
        <f t="shared" si="18"/>
        <v>-265.14076935441199</v>
      </c>
      <c r="N101" s="18">
        <f t="shared" si="20"/>
        <v>-727.27272727272759</v>
      </c>
      <c r="O101" s="18">
        <f t="shared" si="21"/>
        <v>-1000</v>
      </c>
      <c r="P101" s="16">
        <f t="shared" si="26"/>
        <v>0</v>
      </c>
    </row>
    <row r="102" spans="9:16" x14ac:dyDescent="0.25">
      <c r="I102">
        <f t="shared" si="25"/>
        <v>10</v>
      </c>
      <c r="J102">
        <f t="shared" si="24"/>
        <v>2.75</v>
      </c>
      <c r="K102" s="18">
        <f t="shared" si="19"/>
        <v>-998.86073919717353</v>
      </c>
      <c r="L102" s="15">
        <f t="shared" si="17"/>
        <v>-87.496453886955948</v>
      </c>
      <c r="M102" s="18">
        <f t="shared" si="18"/>
        <v>-265.14076935441199</v>
      </c>
      <c r="N102" s="18">
        <f t="shared" si="20"/>
        <v>-727.27272727272759</v>
      </c>
      <c r="O102" s="18">
        <f t="shared" si="21"/>
        <v>-1000</v>
      </c>
      <c r="P102" s="16">
        <f t="shared" si="26"/>
        <v>-4.01025411085641</v>
      </c>
    </row>
    <row r="103" spans="9:16" x14ac:dyDescent="0.25">
      <c r="I103">
        <f>I89</f>
        <v>0.01</v>
      </c>
      <c r="J103">
        <f t="shared" ref="J103:J116" si="27">IF($F$12=0,$J$102+($B$4-$J$102)/10*I103,$J$102+($B$4-$J$102)/10*I103)</f>
        <v>2.7527499999999998</v>
      </c>
      <c r="K103" s="18">
        <f t="shared" si="19"/>
        <v>-996.86174176070517</v>
      </c>
      <c r="L103" s="15">
        <f t="shared" si="17"/>
        <v>-87.496452768608705</v>
      </c>
      <c r="M103" s="18">
        <f t="shared" si="18"/>
        <v>-265.14076596548091</v>
      </c>
      <c r="N103" s="18">
        <f t="shared" si="20"/>
        <v>726.54359016010994</v>
      </c>
      <c r="O103" s="18">
        <f t="shared" si="21"/>
        <v>-998.0010000000002</v>
      </c>
      <c r="P103" s="16">
        <f t="shared" si="26"/>
        <v>-196.49941333513846</v>
      </c>
    </row>
    <row r="104" spans="9:16" x14ac:dyDescent="0.25">
      <c r="I104">
        <f t="shared" si="25"/>
        <v>0.5</v>
      </c>
      <c r="J104">
        <f t="shared" si="27"/>
        <v>2.8875000000000002</v>
      </c>
      <c r="K104" s="18">
        <f t="shared" si="19"/>
        <v>-901.36713494045</v>
      </c>
      <c r="L104" s="15">
        <f t="shared" si="17"/>
        <v>-87.493748346170889</v>
      </c>
      <c r="M104" s="18">
        <f t="shared" si="18"/>
        <v>-265.13257074597237</v>
      </c>
      <c r="N104" s="18">
        <f t="shared" si="20"/>
        <v>690.81625043285931</v>
      </c>
      <c r="O104" s="18">
        <f t="shared" si="21"/>
        <v>-902.49999999999966</v>
      </c>
      <c r="P104" s="16">
        <f t="shared" si="26"/>
        <v>-200.49761816148927</v>
      </c>
    </row>
    <row r="105" spans="9:16" x14ac:dyDescent="0.25">
      <c r="I105">
        <f t="shared" si="25"/>
        <v>1</v>
      </c>
      <c r="J105">
        <f t="shared" si="27"/>
        <v>3.0249999999999999</v>
      </c>
      <c r="K105" s="18">
        <f t="shared" si="19"/>
        <v>-808.88616923790312</v>
      </c>
      <c r="L105" s="15">
        <f t="shared" si="17"/>
        <v>-87.485991140220122</v>
      </c>
      <c r="M105" s="18">
        <f t="shared" si="18"/>
        <v>-265.1090640612731</v>
      </c>
      <c r="N105" s="18">
        <f t="shared" si="20"/>
        <v>654.36197180774627</v>
      </c>
      <c r="O105" s="18">
        <f t="shared" si="21"/>
        <v>-810.00000000000011</v>
      </c>
      <c r="P105" s="16">
        <f t="shared" si="26"/>
        <v>-400.9118599179007</v>
      </c>
    </row>
    <row r="106" spans="9:16" x14ac:dyDescent="0.25">
      <c r="I106">
        <f t="shared" si="25"/>
        <v>2</v>
      </c>
      <c r="J106">
        <f t="shared" si="27"/>
        <v>3.3</v>
      </c>
      <c r="K106" s="18">
        <f t="shared" si="19"/>
        <v>-638.96012582433809</v>
      </c>
      <c r="L106" s="15">
        <f t="shared" si="17"/>
        <v>-87.457365914863857</v>
      </c>
      <c r="M106" s="18">
        <f t="shared" si="18"/>
        <v>-265.02232095413291</v>
      </c>
      <c r="N106" s="18">
        <f t="shared" si="20"/>
        <v>581.46778301235861</v>
      </c>
      <c r="O106" s="18">
        <f t="shared" si="21"/>
        <v>-640.00000000000011</v>
      </c>
      <c r="P106" s="16">
        <f t="shared" si="26"/>
        <v>-400.7477644042358</v>
      </c>
    </row>
    <row r="107" spans="9:16" x14ac:dyDescent="0.25">
      <c r="I107">
        <f t="shared" si="25"/>
        <v>3</v>
      </c>
      <c r="J107">
        <f t="shared" si="27"/>
        <v>3.5750000000000002</v>
      </c>
      <c r="K107" s="18">
        <f t="shared" si="19"/>
        <v>-489.07612172371626</v>
      </c>
      <c r="L107" s="15">
        <f t="shared" si="17"/>
        <v>-87.414385825166093</v>
      </c>
      <c r="M107" s="18">
        <f t="shared" si="18"/>
        <v>-264.8920782580791</v>
      </c>
      <c r="N107" s="18">
        <f t="shared" si="20"/>
        <v>508.60367858702392</v>
      </c>
      <c r="O107" s="18">
        <f t="shared" si="21"/>
        <v>-489.99999999999966</v>
      </c>
      <c r="P107" s="16">
        <f t="shared" si="26"/>
        <v>-400.52557239424743</v>
      </c>
    </row>
    <row r="108" spans="9:16" x14ac:dyDescent="0.25">
      <c r="I108">
        <f t="shared" si="25"/>
        <v>4</v>
      </c>
      <c r="J108">
        <f t="shared" si="27"/>
        <v>3.85</v>
      </c>
      <c r="K108" s="18">
        <f t="shared" si="19"/>
        <v>-359.2243714705379</v>
      </c>
      <c r="L108" s="15">
        <f t="shared" si="17"/>
        <v>-87.360409401414643</v>
      </c>
      <c r="M108" s="18">
        <f t="shared" si="18"/>
        <v>-264.72851333762014</v>
      </c>
      <c r="N108" s="18">
        <f t="shared" si="20"/>
        <v>435.78019035142165</v>
      </c>
      <c r="O108" s="18">
        <f t="shared" si="21"/>
        <v>-360</v>
      </c>
      <c r="P108" s="16">
        <f t="shared" si="26"/>
        <v>-400.25964850013679</v>
      </c>
    </row>
    <row r="109" spans="9:16" x14ac:dyDescent="0.25">
      <c r="I109">
        <f t="shared" si="25"/>
        <v>5</v>
      </c>
      <c r="J109">
        <f t="shared" si="27"/>
        <v>4.125</v>
      </c>
      <c r="K109" s="18">
        <f t="shared" si="19"/>
        <v>-249.39256103393228</v>
      </c>
      <c r="L109" s="15">
        <f t="shared" si="17"/>
        <v>-87.298346307735997</v>
      </c>
      <c r="M109" s="18">
        <f t="shared" si="18"/>
        <v>-264.54044335677577</v>
      </c>
      <c r="N109" s="18">
        <f t="shared" si="20"/>
        <v>363.00523839486431</v>
      </c>
      <c r="O109" s="18">
        <f t="shared" si="21"/>
        <v>-250</v>
      </c>
      <c r="P109" s="16">
        <f t="shared" si="26"/>
        <v>-399.96230066034008</v>
      </c>
    </row>
    <row r="110" spans="9:16" x14ac:dyDescent="0.25">
      <c r="I110">
        <f t="shared" si="25"/>
        <v>6</v>
      </c>
      <c r="J110">
        <f t="shared" si="27"/>
        <v>4.4000000000000004</v>
      </c>
      <c r="K110" s="18">
        <f t="shared" si="19"/>
        <v>-159.5665146209445</v>
      </c>
      <c r="L110" s="15">
        <f t="shared" si="17"/>
        <v>-87.230657616775844</v>
      </c>
      <c r="M110" s="18">
        <f t="shared" si="18"/>
        <v>-264.33532611144193</v>
      </c>
      <c r="N110" s="18">
        <f t="shared" si="20"/>
        <v>290.28450502038123</v>
      </c>
      <c r="O110" s="18">
        <f t="shared" si="21"/>
        <v>-159.99999999999966</v>
      </c>
      <c r="P110" s="16">
        <f t="shared" si="26"/>
        <v>-399.6437814945229</v>
      </c>
    </row>
    <row r="111" spans="9:16" x14ac:dyDescent="0.25">
      <c r="I111">
        <f t="shared" si="25"/>
        <v>7</v>
      </c>
      <c r="J111">
        <f t="shared" si="27"/>
        <v>4.6750000000000007</v>
      </c>
      <c r="K111" s="18">
        <f t="shared" si="19"/>
        <v>-89.730758678411675</v>
      </c>
      <c r="L111" s="15">
        <f t="shared" si="17"/>
        <v>-87.1593561262885</v>
      </c>
      <c r="M111" s="18">
        <f t="shared" si="18"/>
        <v>-264.11926098875301</v>
      </c>
      <c r="N111" s="18">
        <f t="shared" si="20"/>
        <v>217.62180844148372</v>
      </c>
      <c r="O111" s="18">
        <f t="shared" si="21"/>
        <v>-90</v>
      </c>
      <c r="P111" s="16">
        <f t="shared" si="26"/>
        <v>-399.31228982169733</v>
      </c>
    </row>
    <row r="112" spans="9:16" x14ac:dyDescent="0.25">
      <c r="I112">
        <f t="shared" si="25"/>
        <v>8</v>
      </c>
      <c r="J112">
        <f t="shared" si="27"/>
        <v>4.95</v>
      </c>
      <c r="K112" s="18">
        <f t="shared" si="19"/>
        <v>-39.868983165726675</v>
      </c>
      <c r="L112" s="15">
        <f t="shared" si="17"/>
        <v>-87.08600670499797</v>
      </c>
      <c r="M112" s="18">
        <f t="shared" si="18"/>
        <v>-263.89699001514538</v>
      </c>
      <c r="N112" s="18">
        <f t="shared" si="20"/>
        <v>145.01947620210984</v>
      </c>
      <c r="O112" s="18">
        <f t="shared" si="21"/>
        <v>-40</v>
      </c>
      <c r="P112" s="16">
        <f t="shared" si="26"/>
        <v>-398.97397228881385</v>
      </c>
    </row>
    <row r="113" spans="9:16" x14ac:dyDescent="0.25">
      <c r="I113">
        <f t="shared" si="25"/>
        <v>9</v>
      </c>
      <c r="J113">
        <f t="shared" si="27"/>
        <v>5.2249999999999996</v>
      </c>
      <c r="K113" s="18">
        <f t="shared" si="19"/>
        <v>-9.9644001775623554</v>
      </c>
      <c r="L113" s="15">
        <f t="shared" si="17"/>
        <v>-87.011726657393879</v>
      </c>
      <c r="M113" s="18">
        <f t="shared" si="18"/>
        <v>-263.67189896179963</v>
      </c>
      <c r="N113" s="18">
        <f t="shared" si="20"/>
        <v>72.478718299823484</v>
      </c>
      <c r="O113" s="18">
        <f t="shared" si="21"/>
        <v>-10</v>
      </c>
      <c r="P113" s="16">
        <f t="shared" si="26"/>
        <v>-199.35917738831796</v>
      </c>
    </row>
    <row r="114" spans="9:16" x14ac:dyDescent="0.25">
      <c r="I114">
        <f t="shared" si="25"/>
        <v>9.5</v>
      </c>
      <c r="J114">
        <f t="shared" si="27"/>
        <v>5.3625000000000007</v>
      </c>
      <c r="K114" s="18">
        <f t="shared" si="19"/>
        <v>-2.4907441094752034</v>
      </c>
      <c r="L114" s="15">
        <f t="shared" si="17"/>
        <v>-86.974464517864078</v>
      </c>
      <c r="M114" s="18">
        <f t="shared" si="18"/>
        <v>-263.55898338746692</v>
      </c>
      <c r="N114" s="18">
        <f t="shared" si="20"/>
        <v>36.231594023936765</v>
      </c>
      <c r="O114" s="18">
        <f t="shared" si="21"/>
        <v>-2.5</v>
      </c>
      <c r="P114" s="16">
        <f t="shared" si="26"/>
        <v>-195.28912824292425</v>
      </c>
    </row>
    <row r="115" spans="9:16" x14ac:dyDescent="0.25">
      <c r="I115">
        <f t="shared" si="25"/>
        <v>9.99</v>
      </c>
      <c r="J115">
        <f t="shared" si="27"/>
        <v>5.4972500000000002</v>
      </c>
      <c r="K115" s="18">
        <f t="shared" si="19"/>
        <v>-9.9615810533823794E-4</v>
      </c>
      <c r="L115" s="15">
        <f t="shared" si="17"/>
        <v>-86.93793169104876</v>
      </c>
      <c r="M115" s="18">
        <f t="shared" si="18"/>
        <v>-263.44827785166291</v>
      </c>
      <c r="N115" s="18">
        <f t="shared" si="20"/>
        <v>0.72447965746038456</v>
      </c>
      <c r="O115" s="18">
        <f t="shared" si="21"/>
        <v>-1.0000000005344521E-3</v>
      </c>
      <c r="P115" s="16">
        <f t="shared" si="26"/>
        <v>-3.9846381160314555</v>
      </c>
    </row>
    <row r="116" spans="9:16" x14ac:dyDescent="0.25">
      <c r="I116">
        <f t="shared" si="25"/>
        <v>10</v>
      </c>
      <c r="J116">
        <f t="shared" si="27"/>
        <v>5.5</v>
      </c>
      <c r="K116" s="18">
        <f t="shared" si="19"/>
        <v>0</v>
      </c>
      <c r="L116" s="15">
        <f t="shared" si="17"/>
        <v>-86.937186099426896</v>
      </c>
      <c r="M116" s="18">
        <f t="shared" si="18"/>
        <v>-263.4460184831118</v>
      </c>
      <c r="N116" s="18">
        <f t="shared" si="20"/>
        <v>7.5812655908850312E-14</v>
      </c>
      <c r="O116" s="18">
        <f t="shared" si="21"/>
        <v>0</v>
      </c>
    </row>
    <row r="761" spans="9:16" x14ac:dyDescent="0.25">
      <c r="I761" t="s">
        <v>45</v>
      </c>
      <c r="J761" t="s">
        <v>45</v>
      </c>
      <c r="K761" t="s">
        <v>45</v>
      </c>
      <c r="L761" t="s">
        <v>45</v>
      </c>
      <c r="M761" t="s">
        <v>45</v>
      </c>
      <c r="N761" t="s">
        <v>45</v>
      </c>
      <c r="O761" t="s">
        <v>45</v>
      </c>
      <c r="P761" t="s">
        <v>45</v>
      </c>
    </row>
  </sheetData>
  <pageMargins left="0.7" right="0.7" top="0.95833333333333337" bottom="0.78740157499999996" header="0.3" footer="0.3"/>
  <pageSetup paperSize="9" orientation="portrait" r:id="rId1"/>
  <headerFooter>
    <oddHeader>&amp;L[Auftraggeber]
[Projekt]
Projektnummer: [115123123]&amp;RInnere Tragsicherheit
Fundament XXX
Beilage 1</oddHeader>
    <oddFooter>&amp;L[Kürzel]&amp;CPöry Schweiz AG&amp;RSeite 1/1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/>
  <dimension ref="A1:U761"/>
  <sheetViews>
    <sheetView workbookViewId="0">
      <selection activeCell="I15" sqref="I15"/>
    </sheetView>
  </sheetViews>
  <sheetFormatPr baseColWidth="10" defaultRowHeight="15" x14ac:dyDescent="0.25"/>
  <cols>
    <col min="1" max="1" width="20.28515625" customWidth="1"/>
    <col min="2" max="2" width="14" bestFit="1" customWidth="1"/>
    <col min="4" max="4" width="12" bestFit="1" customWidth="1"/>
    <col min="6" max="6" width="12.7109375" bestFit="1" customWidth="1"/>
  </cols>
  <sheetData>
    <row r="1" spans="1:21" x14ac:dyDescent="0.25">
      <c r="A1" s="1" t="s">
        <v>55</v>
      </c>
      <c r="L1" s="1" t="s">
        <v>42</v>
      </c>
      <c r="U1" s="1"/>
    </row>
    <row r="2" spans="1:21" x14ac:dyDescent="0.25">
      <c r="L2" t="s">
        <v>43</v>
      </c>
      <c r="M2" t="s">
        <v>23</v>
      </c>
      <c r="N2" t="str">
        <f>G3</f>
        <v>LK 1</v>
      </c>
      <c r="O2" t="str">
        <f t="shared" ref="O2:R3" si="0">H3</f>
        <v>LK 2</v>
      </c>
      <c r="P2" t="str">
        <f t="shared" si="0"/>
        <v>LK 3</v>
      </c>
      <c r="Q2" t="str">
        <f t="shared" si="0"/>
        <v>LK 4</v>
      </c>
      <c r="R2" t="str">
        <f t="shared" si="0"/>
        <v>LK 5</v>
      </c>
    </row>
    <row r="3" spans="1:21" x14ac:dyDescent="0.25">
      <c r="A3" s="2" t="s">
        <v>0</v>
      </c>
      <c r="B3" s="3"/>
      <c r="C3" s="3"/>
      <c r="E3" s="4" t="s">
        <v>1</v>
      </c>
      <c r="F3" s="5"/>
      <c r="G3" s="5" t="s">
        <v>57</v>
      </c>
      <c r="H3" s="5" t="s">
        <v>58</v>
      </c>
      <c r="I3" s="5" t="s">
        <v>59</v>
      </c>
      <c r="J3" s="5" t="s">
        <v>60</v>
      </c>
      <c r="K3" s="5" t="s">
        <v>65</v>
      </c>
      <c r="M3" t="s">
        <v>44</v>
      </c>
      <c r="N3" t="str">
        <f>G4</f>
        <v>Ftot-Max</v>
      </c>
      <c r="O3" t="str">
        <f t="shared" si="0"/>
        <v>F1 Max</v>
      </c>
      <c r="P3" t="str">
        <f t="shared" si="0"/>
        <v>F2 Max</v>
      </c>
      <c r="Q3" t="str">
        <f t="shared" si="0"/>
        <v>F3 Max</v>
      </c>
      <c r="R3" t="str">
        <f t="shared" si="0"/>
        <v>F rnd</v>
      </c>
    </row>
    <row r="4" spans="1:21" x14ac:dyDescent="0.25">
      <c r="A4" t="s">
        <v>2</v>
      </c>
      <c r="B4" s="6">
        <v>10</v>
      </c>
      <c r="C4" t="s">
        <v>3</v>
      </c>
      <c r="E4" t="s">
        <v>4</v>
      </c>
      <c r="F4" t="s">
        <v>5</v>
      </c>
      <c r="G4" t="s">
        <v>66</v>
      </c>
      <c r="H4" t="s">
        <v>61</v>
      </c>
      <c r="I4" t="s">
        <v>62</v>
      </c>
      <c r="J4" t="s">
        <v>63</v>
      </c>
      <c r="K4" t="s">
        <v>64</v>
      </c>
      <c r="L4">
        <v>0</v>
      </c>
      <c r="M4">
        <f>($F$6-0)/10*L4</f>
        <v>0</v>
      </c>
      <c r="N4" s="18">
        <f>Moment($M4,$B$4,$B$5,$B$15*1000,$B$10*1000,$F$6:$F$8,G$6:G$8)</f>
        <v>-4.4144335361192175E-14</v>
      </c>
      <c r="O4" s="18">
        <f t="shared" ref="O4:R4" si="1">Moment($M4,$B$4,$B$5,$B$15*1000,$B$10*1000,$F$6:$F$8,H$6:H$8)</f>
        <v>-5.4924681073283674E-14</v>
      </c>
      <c r="P4" s="18">
        <f t="shared" si="1"/>
        <v>-3.9580393380890676E-14</v>
      </c>
      <c r="Q4" s="18">
        <f t="shared" si="1"/>
        <v>-3.1200051641199112E-14</v>
      </c>
      <c r="R4" s="18">
        <f t="shared" si="1"/>
        <v>-2.9036113633297523E-14</v>
      </c>
      <c r="S4" s="18"/>
      <c r="T4" s="18"/>
    </row>
    <row r="5" spans="1:21" x14ac:dyDescent="0.25">
      <c r="A5" t="s">
        <v>7</v>
      </c>
      <c r="B5" s="6">
        <v>1.2</v>
      </c>
      <c r="C5" t="s">
        <v>3</v>
      </c>
      <c r="F5" t="s">
        <v>3</v>
      </c>
      <c r="G5" t="s">
        <v>8</v>
      </c>
      <c r="L5">
        <v>0.01</v>
      </c>
      <c r="M5">
        <f t="shared" ref="M5:M18" si="2">($F$6-0)/10*L5</f>
        <v>1E-3</v>
      </c>
      <c r="N5" s="18">
        <f t="shared" ref="N5:N68" si="3">Moment($M5,$B$4,$B$5,$B$15*1000,$B$10*1000,$F$6:$F$8,G$6:G$8)</f>
        <v>-8.814170936031953E-5</v>
      </c>
      <c r="O5" s="18">
        <f t="shared" ref="O5:O68" si="4">Moment($M5,$B$4,$B$5,$B$15*1000,$B$10*1000,$F$6:$F$8,H$6:H$8)</f>
        <v>-1.2050735650078991E-4</v>
      </c>
      <c r="P5" s="18">
        <f t="shared" ref="P5:P68" si="5">Moment($M5,$B$4,$B$5,$B$15*1000,$B$10*1000,$F$6:$F$8,I$6:I$8)</f>
        <v>-4.9290354184349212E-5</v>
      </c>
      <c r="Q5" s="18">
        <f t="shared" ref="Q5:Q68" si="6">Moment($M5,$B$4,$B$5,$B$15*1000,$B$10*1000,$F$6:$F$8,J$6:J$8)</f>
        <v>-2.6291904354040425E-5</v>
      </c>
      <c r="R5" s="18">
        <f t="shared" ref="R5:R68" si="7">Moment($M5,$B$4,$B$5,$B$15*1000,$B$10*1000,$F$6:$F$8,K$6:K$8)</f>
        <v>-9.228940716629166E-5</v>
      </c>
      <c r="S5" s="16"/>
    </row>
    <row r="6" spans="1:21" x14ac:dyDescent="0.25">
      <c r="A6" t="s">
        <v>9</v>
      </c>
      <c r="B6" s="6">
        <v>0.5</v>
      </c>
      <c r="C6" t="s">
        <v>3</v>
      </c>
      <c r="D6" s="16"/>
      <c r="E6">
        <v>1</v>
      </c>
      <c r="F6" s="6">
        <v>1</v>
      </c>
      <c r="G6" s="19">
        <v>500</v>
      </c>
      <c r="H6" s="19">
        <v>650</v>
      </c>
      <c r="I6" s="19">
        <v>300</v>
      </c>
      <c r="J6" s="19">
        <v>200</v>
      </c>
      <c r="K6" s="19">
        <v>500</v>
      </c>
      <c r="L6">
        <v>0.5</v>
      </c>
      <c r="M6">
        <f t="shared" si="2"/>
        <v>0.05</v>
      </c>
      <c r="N6" s="18">
        <f t="shared" si="3"/>
        <v>-0.21981376154500146</v>
      </c>
      <c r="O6" s="18">
        <f t="shared" si="4"/>
        <v>-0.30050237511998823</v>
      </c>
      <c r="P6" s="18">
        <f t="shared" si="5"/>
        <v>-0.12314610869148535</v>
      </c>
      <c r="Q6" s="18">
        <f t="shared" si="6"/>
        <v>-6.5783817153385771E-2</v>
      </c>
      <c r="R6" s="18">
        <f t="shared" si="7"/>
        <v>-0.22990085566290402</v>
      </c>
      <c r="S6" s="16"/>
    </row>
    <row r="7" spans="1:21" x14ac:dyDescent="0.25">
      <c r="A7" t="s">
        <v>10</v>
      </c>
      <c r="B7" s="7">
        <v>12000</v>
      </c>
      <c r="C7" t="s">
        <v>11</v>
      </c>
      <c r="D7" s="16"/>
      <c r="E7">
        <v>2</v>
      </c>
      <c r="F7" s="6">
        <v>5</v>
      </c>
      <c r="G7" s="19">
        <v>400</v>
      </c>
      <c r="H7" s="19">
        <v>450</v>
      </c>
      <c r="I7" s="19">
        <v>500</v>
      </c>
      <c r="J7" s="19">
        <v>450</v>
      </c>
      <c r="K7" s="19">
        <v>100</v>
      </c>
      <c r="L7">
        <v>1</v>
      </c>
      <c r="M7">
        <f t="shared" si="2"/>
        <v>0.1</v>
      </c>
      <c r="N7" s="18">
        <f t="shared" si="3"/>
        <v>-0.87704886003138716</v>
      </c>
      <c r="O7" s="18">
        <f t="shared" si="4"/>
        <v>-1.1988828830234193</v>
      </c>
      <c r="P7" s="18">
        <f t="shared" si="5"/>
        <v>-0.49225880691413976</v>
      </c>
      <c r="Q7" s="18">
        <f t="shared" si="6"/>
        <v>-0.26335590209519932</v>
      </c>
      <c r="R7" s="18">
        <f t="shared" si="7"/>
        <v>-0.91624560130603239</v>
      </c>
      <c r="S7" s="16"/>
    </row>
    <row r="8" spans="1:21" x14ac:dyDescent="0.25">
      <c r="D8" s="16"/>
      <c r="E8">
        <v>3</v>
      </c>
      <c r="F8" s="6">
        <v>9</v>
      </c>
      <c r="G8" s="19">
        <v>500</v>
      </c>
      <c r="H8" s="19">
        <v>200</v>
      </c>
      <c r="I8" s="19">
        <v>300</v>
      </c>
      <c r="J8" s="19">
        <v>650</v>
      </c>
      <c r="K8" s="19">
        <v>500</v>
      </c>
      <c r="L8">
        <v>2</v>
      </c>
      <c r="M8">
        <f t="shared" si="2"/>
        <v>0.2</v>
      </c>
      <c r="N8" s="18">
        <f t="shared" si="3"/>
        <v>-3.4905450032648009</v>
      </c>
      <c r="O8" s="18">
        <f t="shared" si="4"/>
        <v>-4.7705172970081069</v>
      </c>
      <c r="P8" s="18">
        <f t="shared" si="5"/>
        <v>-1.9664296730459268</v>
      </c>
      <c r="Q8" s="18">
        <f t="shared" si="6"/>
        <v>-1.0551883917695568</v>
      </c>
      <c r="R8" s="18">
        <f t="shared" si="7"/>
        <v>-3.6381188443182095</v>
      </c>
      <c r="S8" s="16"/>
    </row>
    <row r="9" spans="1:21" x14ac:dyDescent="0.25">
      <c r="A9" s="8" t="s">
        <v>12</v>
      </c>
      <c r="B9" s="8"/>
      <c r="C9" s="8"/>
      <c r="D9" s="16"/>
      <c r="L9">
        <v>3</v>
      </c>
      <c r="M9">
        <f t="shared" si="2"/>
        <v>0.30000000000000004</v>
      </c>
      <c r="N9" s="18">
        <f t="shared" si="3"/>
        <v>-7.8140046757663768</v>
      </c>
      <c r="O9" s="18">
        <f t="shared" si="4"/>
        <v>-10.677370819991818</v>
      </c>
      <c r="P9" s="18">
        <f t="shared" si="5"/>
        <v>-4.4185997118018987</v>
      </c>
      <c r="Q9" s="18">
        <f t="shared" si="6"/>
        <v>-2.3781422034081632</v>
      </c>
      <c r="R9" s="18">
        <f t="shared" si="7"/>
        <v>-8.1253159376793711</v>
      </c>
      <c r="S9" s="16"/>
    </row>
    <row r="10" spans="1:21" x14ac:dyDescent="0.25">
      <c r="A10" t="s">
        <v>13</v>
      </c>
      <c r="B10" s="17">
        <v>20</v>
      </c>
      <c r="C10" t="s">
        <v>11</v>
      </c>
      <c r="D10" s="16"/>
      <c r="G10" s="15">
        <f>SUM(G6:G8)</f>
        <v>1400</v>
      </c>
      <c r="H10" s="15">
        <f t="shared" ref="H10:K10" si="8">SUM(H6:H8)</f>
        <v>1300</v>
      </c>
      <c r="I10" s="15">
        <f t="shared" si="8"/>
        <v>1100</v>
      </c>
      <c r="J10" s="15">
        <f t="shared" si="8"/>
        <v>1300</v>
      </c>
      <c r="K10" s="15">
        <f t="shared" si="8"/>
        <v>1100</v>
      </c>
      <c r="L10">
        <v>4</v>
      </c>
      <c r="M10">
        <f t="shared" si="2"/>
        <v>0.4</v>
      </c>
      <c r="N10" s="18">
        <f t="shared" si="3"/>
        <v>-13.820916156646996</v>
      </c>
      <c r="O10" s="18">
        <f t="shared" si="4"/>
        <v>-18.88187280986023</v>
      </c>
      <c r="P10" s="18">
        <f t="shared" si="5"/>
        <v>-7.8448402630363159</v>
      </c>
      <c r="Q10" s="18">
        <f t="shared" si="6"/>
        <v>-4.2348535994803873</v>
      </c>
      <c r="R10" s="18">
        <f t="shared" si="7"/>
        <v>-14.33750396159148</v>
      </c>
      <c r="S10" s="16"/>
    </row>
    <row r="11" spans="1:21" x14ac:dyDescent="0.25">
      <c r="D11" s="16"/>
      <c r="L11">
        <v>5</v>
      </c>
      <c r="M11">
        <f t="shared" si="2"/>
        <v>0.5</v>
      </c>
      <c r="N11" s="18">
        <f t="shared" si="3"/>
        <v>-21.484707765165194</v>
      </c>
      <c r="O11" s="18">
        <f t="shared" si="4"/>
        <v>-29.346370696259356</v>
      </c>
      <c r="P11" s="18">
        <f t="shared" si="5"/>
        <v>-12.241188733678651</v>
      </c>
      <c r="Q11" s="18">
        <f t="shared" si="6"/>
        <v>-6.6279405676272347</v>
      </c>
      <c r="R11" s="18">
        <f t="shared" si="7"/>
        <v>-22.234287679111887</v>
      </c>
      <c r="S11" s="16"/>
    </row>
    <row r="12" spans="1:21" x14ac:dyDescent="0.25">
      <c r="A12" t="s">
        <v>14</v>
      </c>
      <c r="D12" s="16"/>
      <c r="L12">
        <v>6</v>
      </c>
      <c r="M12">
        <f t="shared" si="2"/>
        <v>0.60000000000000009</v>
      </c>
      <c r="N12" s="18">
        <f t="shared" si="3"/>
        <v>-30.778703397890684</v>
      </c>
      <c r="O12" s="18">
        <f t="shared" si="4"/>
        <v>-42.033069252990877</v>
      </c>
      <c r="P12" s="18">
        <f t="shared" si="5"/>
        <v>-17.603623223065782</v>
      </c>
      <c r="Q12" s="18">
        <f t="shared" si="6"/>
        <v>-9.5599890640113792</v>
      </c>
      <c r="R12" s="18">
        <f t="shared" si="7"/>
        <v>-31.77516356981603</v>
      </c>
      <c r="S12" s="16"/>
    </row>
    <row r="13" spans="1:21" x14ac:dyDescent="0.25">
      <c r="A13" t="s">
        <v>39</v>
      </c>
      <c r="B13" s="9">
        <f>B10/(1.8*B5)</f>
        <v>9.2592592592592595</v>
      </c>
      <c r="C13" t="s">
        <v>15</v>
      </c>
      <c r="D13" t="s">
        <v>16</v>
      </c>
      <c r="L13">
        <v>7</v>
      </c>
      <c r="M13">
        <f t="shared" si="2"/>
        <v>0.70000000000000007</v>
      </c>
      <c r="N13" s="18">
        <f t="shared" si="3"/>
        <v>-41.676065792810604</v>
      </c>
      <c r="O13" s="18">
        <f t="shared" si="4"/>
        <v>-56.903953129872981</v>
      </c>
      <c r="P13" s="18">
        <f t="shared" si="5"/>
        <v>-23.928029962362793</v>
      </c>
      <c r="Q13" s="18">
        <f t="shared" si="6"/>
        <v>-13.033535283554347</v>
      </c>
      <c r="R13" s="18">
        <f t="shared" si="7"/>
        <v>-42.919461385107027</v>
      </c>
      <c r="S13" s="16"/>
    </row>
    <row r="14" spans="1:21" x14ac:dyDescent="0.25">
      <c r="A14" t="s">
        <v>17</v>
      </c>
      <c r="B14" s="10">
        <f>1/12*B5*B6^3</f>
        <v>1.2499999999999999E-2</v>
      </c>
      <c r="C14" t="s">
        <v>18</v>
      </c>
      <c r="D14" t="s">
        <v>16</v>
      </c>
      <c r="L14">
        <v>8</v>
      </c>
      <c r="M14">
        <f t="shared" si="2"/>
        <v>0.8</v>
      </c>
      <c r="N14" s="18">
        <f t="shared" si="3"/>
        <v>-54.149727718049029</v>
      </c>
      <c r="O14" s="18">
        <f t="shared" si="4"/>
        <v>-73.920692924126982</v>
      </c>
      <c r="P14" s="18">
        <f t="shared" si="5"/>
        <v>-31.210163597904312</v>
      </c>
      <c r="Q14" s="18">
        <f t="shared" si="6"/>
        <v>-17.051043937927439</v>
      </c>
      <c r="R14" s="18">
        <f t="shared" si="7"/>
        <v>-55.626273525270307</v>
      </c>
      <c r="S14" s="16"/>
    </row>
    <row r="15" spans="1:21" x14ac:dyDescent="0.25">
      <c r="A15" t="s">
        <v>19</v>
      </c>
      <c r="B15" s="11">
        <f>B14*B7</f>
        <v>150</v>
      </c>
      <c r="C15" t="s">
        <v>20</v>
      </c>
      <c r="D15" t="s">
        <v>56</v>
      </c>
      <c r="L15">
        <v>9</v>
      </c>
      <c r="M15">
        <f t="shared" si="2"/>
        <v>0.9</v>
      </c>
      <c r="N15" s="18">
        <f t="shared" si="3"/>
        <v>-68.172311284079854</v>
      </c>
      <c r="O15" s="18">
        <f t="shared" si="4"/>
        <v>-93.04453507300147</v>
      </c>
      <c r="P15" s="18">
        <f t="shared" si="5"/>
        <v>-39.445600348977983</v>
      </c>
      <c r="Q15" s="18">
        <f t="shared" si="6"/>
        <v>-21.614882522536668</v>
      </c>
      <c r="R15" s="18">
        <f t="shared" si="7"/>
        <v>-69.854372539622091</v>
      </c>
      <c r="S15" s="16"/>
    </row>
    <row r="16" spans="1:21" x14ac:dyDescent="0.25">
      <c r="B16" s="12"/>
      <c r="L16">
        <v>9.5</v>
      </c>
      <c r="M16">
        <f t="shared" si="2"/>
        <v>0.95000000000000007</v>
      </c>
      <c r="N16" s="18">
        <f t="shared" si="3"/>
        <v>-75.755785652521737</v>
      </c>
      <c r="O16" s="18">
        <f t="shared" si="4"/>
        <v>-103.384362373843</v>
      </c>
      <c r="P16" s="18">
        <f t="shared" si="5"/>
        <v>-43.919363044301413</v>
      </c>
      <c r="Q16" s="18">
        <f t="shared" si="6"/>
        <v>-24.102381557034121</v>
      </c>
      <c r="R16" s="18">
        <f t="shared" si="7"/>
        <v>-77.525910668535161</v>
      </c>
      <c r="S16" s="16"/>
    </row>
    <row r="17" spans="1:19" x14ac:dyDescent="0.25">
      <c r="B17" s="12"/>
      <c r="L17">
        <v>9.99</v>
      </c>
      <c r="M17">
        <f t="shared" si="2"/>
        <v>0.99900000000000011</v>
      </c>
      <c r="N17" s="18">
        <f t="shared" si="3"/>
        <v>-83.553161097902205</v>
      </c>
      <c r="O17" s="18">
        <f t="shared" si="4"/>
        <v>-114.01415451707443</v>
      </c>
      <c r="P17" s="18">
        <f t="shared" si="5"/>
        <v>-48.533163407735998</v>
      </c>
      <c r="Q17" s="18">
        <f t="shared" si="6"/>
        <v>-26.673445060047143</v>
      </c>
      <c r="R17" s="18">
        <f t="shared" si="7"/>
        <v>-85.397853310600681</v>
      </c>
      <c r="S17" s="16"/>
    </row>
    <row r="18" spans="1:19" x14ac:dyDescent="0.25">
      <c r="A18" s="20"/>
      <c r="B18" s="21"/>
      <c r="C18" s="20"/>
      <c r="D18" s="20"/>
      <c r="L18">
        <v>10</v>
      </c>
      <c r="M18">
        <f t="shared" si="2"/>
        <v>1</v>
      </c>
      <c r="N18" s="18">
        <f t="shared" si="3"/>
        <v>-83.716035580029214</v>
      </c>
      <c r="O18" s="18">
        <f t="shared" si="4"/>
        <v>-114.23617585168948</v>
      </c>
      <c r="P18" s="18">
        <f t="shared" si="5"/>
        <v>-48.629684071554408</v>
      </c>
      <c r="Q18" s="18">
        <f t="shared" si="6"/>
        <v>-26.727291554276025</v>
      </c>
      <c r="R18" s="18">
        <f t="shared" si="7"/>
        <v>-85.562117052871287</v>
      </c>
      <c r="S18" s="16"/>
    </row>
    <row r="19" spans="1:19" x14ac:dyDescent="0.25">
      <c r="A19" s="13" t="s">
        <v>22</v>
      </c>
      <c r="B19" s="14"/>
      <c r="C19" s="13"/>
      <c r="L19">
        <f>L5</f>
        <v>0.01</v>
      </c>
      <c r="M19">
        <f t="shared" ref="M19:M32" si="9">IF($F$7=0,M18,$M$18+($F$7-$M$18)/10*L19)</f>
        <v>1.004</v>
      </c>
      <c r="N19" s="18">
        <f t="shared" si="3"/>
        <v>-82.7023594607859</v>
      </c>
      <c r="O19" s="18">
        <f t="shared" si="4"/>
        <v>-112.95962199329547</v>
      </c>
      <c r="P19" s="18">
        <f t="shared" si="5"/>
        <v>-48.016710403170308</v>
      </c>
      <c r="Q19" s="18">
        <f t="shared" si="6"/>
        <v>-26.276561551093383</v>
      </c>
      <c r="R19" s="18">
        <f t="shared" si="7"/>
        <v>-84.553942468441164</v>
      </c>
      <c r="S19" s="16"/>
    </row>
    <row r="20" spans="1:19" x14ac:dyDescent="0.25">
      <c r="B20" t="s">
        <v>23</v>
      </c>
      <c r="C20" t="str">
        <f>G3</f>
        <v>LK 1</v>
      </c>
      <c r="D20" t="str">
        <f t="shared" ref="D20:G20" si="10">H3</f>
        <v>LK 2</v>
      </c>
      <c r="E20" t="str">
        <f t="shared" si="10"/>
        <v>LK 3</v>
      </c>
      <c r="F20" t="str">
        <f t="shared" si="10"/>
        <v>LK 4</v>
      </c>
      <c r="G20" t="str">
        <f t="shared" si="10"/>
        <v>LK 5</v>
      </c>
      <c r="L20">
        <f t="shared" ref="L20:L83" si="11">L6</f>
        <v>0.5</v>
      </c>
      <c r="M20">
        <f t="shared" si="9"/>
        <v>1.2</v>
      </c>
      <c r="N20" s="18">
        <f t="shared" si="3"/>
        <v>-35.919882295401763</v>
      </c>
      <c r="O20" s="18">
        <f t="shared" si="4"/>
        <v>-54.328796277969943</v>
      </c>
      <c r="P20" s="18">
        <f t="shared" si="5"/>
        <v>-19.823682409651006</v>
      </c>
      <c r="Q20" s="18">
        <f t="shared" si="6"/>
        <v>-5.2726408054830038</v>
      </c>
      <c r="R20" s="18">
        <f t="shared" si="7"/>
        <v>-37.914013411851819</v>
      </c>
      <c r="S20" s="16"/>
    </row>
    <row r="21" spans="1:19" x14ac:dyDescent="0.25">
      <c r="B21" t="s">
        <v>3</v>
      </c>
      <c r="C21" t="s">
        <v>27</v>
      </c>
      <c r="D21" t="s">
        <v>27</v>
      </c>
      <c r="E21" t="s">
        <v>27</v>
      </c>
      <c r="F21" t="s">
        <v>27</v>
      </c>
      <c r="G21" t="s">
        <v>27</v>
      </c>
      <c r="L21">
        <f t="shared" si="11"/>
        <v>1</v>
      </c>
      <c r="M21">
        <f t="shared" si="9"/>
        <v>1.4</v>
      </c>
      <c r="N21" s="18">
        <f t="shared" si="3"/>
        <v>6.1375454761517725</v>
      </c>
      <c r="O21" s="18">
        <f t="shared" si="4"/>
        <v>-2.2037956853128127</v>
      </c>
      <c r="P21" s="18">
        <f t="shared" si="5"/>
        <v>5.2507989827719479</v>
      </c>
      <c r="Q21" s="18">
        <f t="shared" si="6"/>
        <v>13.964622123070034</v>
      </c>
      <c r="R21" s="18">
        <f t="shared" si="7"/>
        <v>4.3280012102892131</v>
      </c>
      <c r="S21" s="16"/>
    </row>
    <row r="22" spans="1:19" x14ac:dyDescent="0.25">
      <c r="A22" t="s">
        <v>46</v>
      </c>
      <c r="B22">
        <f>B4/2</f>
        <v>5</v>
      </c>
      <c r="C22" s="12">
        <f>Moment($B22,$B$4,$B$5,$B$15*1000,$B$10*1000,$F$6:$F$8,G$6:G$8)</f>
        <v>3.4040089683392458</v>
      </c>
      <c r="D22" s="12">
        <f t="shared" ref="D22:G22" si="12">Moment($B22,$B$4,$B$5,$B$15*1000,$B$10*1000,$F$6:$F$8,H$6:H$8)</f>
        <v>-63.694446470688135</v>
      </c>
      <c r="E22" s="12">
        <f t="shared" si="12"/>
        <v>-155.34706793155871</v>
      </c>
      <c r="F22" s="12">
        <f t="shared" si="12"/>
        <v>-63.694446470687751</v>
      </c>
      <c r="G22" s="12">
        <f t="shared" si="12"/>
        <v>185.0072474059111</v>
      </c>
      <c r="H22" s="12"/>
      <c r="I22" s="12"/>
      <c r="L22">
        <f t="shared" si="11"/>
        <v>2</v>
      </c>
      <c r="M22">
        <f t="shared" si="9"/>
        <v>1.8</v>
      </c>
      <c r="N22" s="18">
        <f t="shared" si="3"/>
        <v>73.981345348724787</v>
      </c>
      <c r="O22" s="18">
        <f t="shared" si="4"/>
        <v>80.037787066954095</v>
      </c>
      <c r="P22" s="18">
        <f t="shared" si="5"/>
        <v>44.385977036347732</v>
      </c>
      <c r="Q22" s="18">
        <f t="shared" si="6"/>
        <v>45.728105264204331</v>
      </c>
      <c r="R22" s="18">
        <f t="shared" si="7"/>
        <v>73.984610932825333</v>
      </c>
      <c r="S22" s="16"/>
    </row>
    <row r="23" spans="1:19" x14ac:dyDescent="0.25">
      <c r="A23" t="s">
        <v>47</v>
      </c>
      <c r="B23" s="6">
        <v>6</v>
      </c>
      <c r="C23" s="12">
        <f>Moment($B23,$B$4,$B$5,$B$15*1000,$B$10*1000,$F$6:$F$8,G$6:G$8)</f>
        <v>127.32610777113726</v>
      </c>
      <c r="D23" s="12">
        <f t="shared" ref="D23:G23" si="13">Moment($B23,$B$4,$B$5,$B$15*1000,$B$10*1000,$F$6:$F$8,H$6:H$8)</f>
        <v>48.855568926159521</v>
      </c>
      <c r="E23" s="12">
        <f t="shared" si="13"/>
        <v>6.0449866356661754</v>
      </c>
      <c r="F23" s="12">
        <f t="shared" si="13"/>
        <v>108.07131749268321</v>
      </c>
      <c r="G23" s="12">
        <f t="shared" si="13"/>
        <v>208.499967033079</v>
      </c>
      <c r="H23" s="12"/>
      <c r="I23" s="12"/>
      <c r="L23">
        <f t="shared" si="11"/>
        <v>3</v>
      </c>
      <c r="M23">
        <f t="shared" si="9"/>
        <v>2.2000000000000002</v>
      </c>
      <c r="N23" s="18">
        <f t="shared" si="3"/>
        <v>121.67402007372213</v>
      </c>
      <c r="O23" s="18">
        <f t="shared" si="4"/>
        <v>135.13912543953592</v>
      </c>
      <c r="P23" s="18">
        <f t="shared" si="5"/>
        <v>69.11712408208021</v>
      </c>
      <c r="Q23" s="18">
        <f t="shared" si="6"/>
        <v>68.417465025508363</v>
      </c>
      <c r="R23" s="18">
        <f t="shared" si="7"/>
        <v>126.15935233774489</v>
      </c>
      <c r="S23" s="16"/>
    </row>
    <row r="24" spans="1:19" x14ac:dyDescent="0.25">
      <c r="A24" t="s">
        <v>49</v>
      </c>
      <c r="B24" s="12"/>
      <c r="C24" s="12">
        <f>Max_Moment($B$4,$B$5,$B$15*1000,$B$10*1000,$F$6:$F$8,G$6:G$8)</f>
        <v>163.86966124719009</v>
      </c>
      <c r="D24" s="12">
        <f t="shared" ref="D24:G24" si="14">Max_Moment($B$4,$B$5,$B$15*1000,$B$10*1000,$F$6:$F$8,H$6:H$8)</f>
        <v>173.70200944160968</v>
      </c>
      <c r="E24" s="12">
        <f t="shared" si="14"/>
        <v>80.162352131960745</v>
      </c>
      <c r="F24" s="12">
        <f>Max_Moment($B$4,$B$5,$B$15*1000,$B$10*1000,$F$6:$F$8,J$6:J$8)</f>
        <v>173.70200944160567</v>
      </c>
      <c r="G24" s="22">
        <f t="shared" si="14"/>
        <v>208.6967655706342</v>
      </c>
      <c r="L24">
        <f t="shared" si="11"/>
        <v>4</v>
      </c>
      <c r="M24">
        <f t="shared" si="9"/>
        <v>2.6</v>
      </c>
      <c r="N24" s="18">
        <f t="shared" si="3"/>
        <v>150.94030350998162</v>
      </c>
      <c r="O24" s="18">
        <f t="shared" si="4"/>
        <v>165.60757435574158</v>
      </c>
      <c r="P24" s="18">
        <f t="shared" si="5"/>
        <v>79.705897307305477</v>
      </c>
      <c r="Q24" s="18">
        <f t="shared" si="6"/>
        <v>81.803162166187334</v>
      </c>
      <c r="R24" s="18">
        <f t="shared" si="7"/>
        <v>163.46909366230872</v>
      </c>
      <c r="S24" s="16"/>
    </row>
    <row r="25" spans="1:19" x14ac:dyDescent="0.25">
      <c r="A25" t="s">
        <v>50</v>
      </c>
      <c r="B25" s="12"/>
      <c r="C25" s="12">
        <f>Min_Moment($B$4,$B$5,$B$15*1000,$B$10*1000,$F$6:$F$8,G$6:G$8)</f>
        <v>-83.716035580037044</v>
      </c>
      <c r="D25" s="12">
        <f t="shared" ref="D25:G25" si="15">Min_Moment($B$4,$B$5,$B$15*1000,$B$10*1000,$F$6:$F$8,H$6:H$8)</f>
        <v>-114.23617585168948</v>
      </c>
      <c r="E25" s="22">
        <f t="shared" si="15"/>
        <v>-155.34706793155871</v>
      </c>
      <c r="F25" s="12">
        <f t="shared" si="15"/>
        <v>-114.23617585169399</v>
      </c>
      <c r="G25" s="12">
        <f t="shared" si="15"/>
        <v>-85.56211705287771</v>
      </c>
      <c r="L25">
        <f t="shared" si="11"/>
        <v>5</v>
      </c>
      <c r="M25">
        <f t="shared" si="9"/>
        <v>3</v>
      </c>
      <c r="N25" s="18">
        <f t="shared" si="3"/>
        <v>163.28002255805444</v>
      </c>
      <c r="O25" s="18">
        <f t="shared" si="4"/>
        <v>173.70200944160968</v>
      </c>
      <c r="P25" s="18">
        <f t="shared" si="5"/>
        <v>76.287356691226961</v>
      </c>
      <c r="Q25" s="18">
        <f t="shared" si="6"/>
        <v>85.528857731724258</v>
      </c>
      <c r="R25" s="18">
        <f t="shared" si="7"/>
        <v>188.29616506990723</v>
      </c>
      <c r="S25" s="16"/>
    </row>
    <row r="26" spans="1:19" x14ac:dyDescent="0.25">
      <c r="L26">
        <f t="shared" si="11"/>
        <v>6</v>
      </c>
      <c r="M26">
        <f t="shared" si="9"/>
        <v>3.4000000000000004</v>
      </c>
      <c r="N26" s="18">
        <f t="shared" si="3"/>
        <v>159.91212545032124</v>
      </c>
      <c r="O26" s="18">
        <f t="shared" si="4"/>
        <v>161.37433575146332</v>
      </c>
      <c r="P26" s="18">
        <f t="shared" si="5"/>
        <v>58.849842815007115</v>
      </c>
      <c r="Q26" s="18">
        <f t="shared" si="6"/>
        <v>79.086142359694932</v>
      </c>
      <c r="R26" s="18">
        <f t="shared" si="7"/>
        <v>202.71685520630467</v>
      </c>
      <c r="S26" s="16"/>
    </row>
    <row r="27" spans="1:19" x14ac:dyDescent="0.25">
      <c r="L27">
        <f t="shared" si="11"/>
        <v>7</v>
      </c>
      <c r="M27">
        <f t="shared" si="9"/>
        <v>3.8000000000000003</v>
      </c>
      <c r="N27" s="18">
        <f t="shared" si="3"/>
        <v>141.75089667843292</v>
      </c>
      <c r="O27" s="18">
        <f t="shared" si="4"/>
        <v>130.25352138251816</v>
      </c>
      <c r="P27" s="18">
        <f t="shared" si="5"/>
        <v>27.241463129697738</v>
      </c>
      <c r="Q27" s="18">
        <f t="shared" si="6"/>
        <v>61.807631920742274</v>
      </c>
      <c r="R27" s="18">
        <f t="shared" si="7"/>
        <v>208.45367538308145</v>
      </c>
      <c r="S27" s="16"/>
    </row>
    <row r="28" spans="1:19" x14ac:dyDescent="0.25">
      <c r="L28">
        <f t="shared" si="11"/>
        <v>8</v>
      </c>
      <c r="M28">
        <f t="shared" si="9"/>
        <v>4.2</v>
      </c>
      <c r="N28" s="18">
        <f t="shared" si="3"/>
        <v>109.41205458222008</v>
      </c>
      <c r="O28" s="18">
        <f t="shared" si="4"/>
        <v>81.668459624631197</v>
      </c>
      <c r="P28" s="18">
        <f t="shared" si="5"/>
        <v>-18.79679325819847</v>
      </c>
      <c r="Q28" s="18">
        <f t="shared" si="6"/>
        <v>32.87939577415564</v>
      </c>
      <c r="R28" s="18">
        <f t="shared" si="7"/>
        <v>206.84746920629382</v>
      </c>
      <c r="S28" s="16"/>
    </row>
    <row r="29" spans="1:19" x14ac:dyDescent="0.25">
      <c r="L29">
        <f t="shared" si="11"/>
        <v>9</v>
      </c>
      <c r="M29">
        <f t="shared" si="9"/>
        <v>4.5999999999999996</v>
      </c>
      <c r="N29" s="18">
        <f t="shared" si="3"/>
        <v>63.246995914071888</v>
      </c>
      <c r="O29" s="18">
        <f t="shared" si="4"/>
        <v>16.706563405325614</v>
      </c>
      <c r="P29" s="18">
        <f t="shared" si="5"/>
        <v>-79.571034715394191</v>
      </c>
      <c r="Q29" s="18">
        <f t="shared" si="6"/>
        <v>-8.6260207284965418</v>
      </c>
      <c r="R29" s="18">
        <f t="shared" si="7"/>
        <v>198.84611006465346</v>
      </c>
      <c r="S29" s="16"/>
    </row>
    <row r="30" spans="1:19" x14ac:dyDescent="0.25">
      <c r="L30">
        <f t="shared" si="11"/>
        <v>9.5</v>
      </c>
      <c r="M30">
        <f t="shared" si="9"/>
        <v>4.8000000000000007</v>
      </c>
      <c r="N30" s="18">
        <f t="shared" si="3"/>
        <v>35.031694830933617</v>
      </c>
      <c r="O30" s="18">
        <f t="shared" si="4"/>
        <v>-21.619968393809987</v>
      </c>
      <c r="P30" s="18">
        <f t="shared" si="5"/>
        <v>-115.57174900675274</v>
      </c>
      <c r="Q30" s="18">
        <f t="shared" si="6"/>
        <v>-34.402952313482942</v>
      </c>
      <c r="R30" s="18">
        <f t="shared" si="7"/>
        <v>192.6364247216793</v>
      </c>
      <c r="S30" s="16"/>
    </row>
    <row r="31" spans="1:19" x14ac:dyDescent="0.25">
      <c r="L31">
        <f t="shared" si="11"/>
        <v>9.99</v>
      </c>
      <c r="M31">
        <f t="shared" si="9"/>
        <v>4.9960000000000004</v>
      </c>
      <c r="N31" s="18">
        <f t="shared" si="3"/>
        <v>4.0699933956828955</v>
      </c>
      <c r="O31" s="18">
        <f t="shared" si="4"/>
        <v>-62.816955236174131</v>
      </c>
      <c r="P31" s="18">
        <f t="shared" si="5"/>
        <v>-154.5144914278462</v>
      </c>
      <c r="Q31" s="18">
        <f t="shared" si="6"/>
        <v>-63.073391538689165</v>
      </c>
      <c r="R31" s="18">
        <f t="shared" si="7"/>
        <v>185.17363277867054</v>
      </c>
      <c r="S31" s="16"/>
    </row>
    <row r="32" spans="1:19" x14ac:dyDescent="0.25">
      <c r="L32">
        <f t="shared" si="11"/>
        <v>10</v>
      </c>
      <c r="M32">
        <f t="shared" si="9"/>
        <v>5</v>
      </c>
      <c r="N32" s="18">
        <f t="shared" si="3"/>
        <v>3.4040089683392458</v>
      </c>
      <c r="O32" s="18">
        <f t="shared" si="4"/>
        <v>-63.694446470688135</v>
      </c>
      <c r="P32" s="18">
        <f t="shared" si="5"/>
        <v>-155.34706793155871</v>
      </c>
      <c r="Q32" s="18">
        <f t="shared" si="6"/>
        <v>-63.694446470687751</v>
      </c>
      <c r="R32" s="18">
        <f t="shared" si="7"/>
        <v>185.0072474059111</v>
      </c>
      <c r="S32" s="16"/>
    </row>
    <row r="33" spans="12:19" x14ac:dyDescent="0.25">
      <c r="L33">
        <f>L19</f>
        <v>0.01</v>
      </c>
      <c r="M33">
        <f t="shared" ref="M33:M46" si="16">IF($F$8=0,M32,$M$32+($F$8-$M$32)/10*L33)</f>
        <v>5.0039999999999996</v>
      </c>
      <c r="N33" s="18">
        <f t="shared" si="3"/>
        <v>4.0699933956829426</v>
      </c>
      <c r="O33" s="18">
        <f t="shared" si="4"/>
        <v>-63.073391538689521</v>
      </c>
      <c r="P33" s="18">
        <f t="shared" si="5"/>
        <v>-154.51449142784617</v>
      </c>
      <c r="Q33" s="18">
        <f t="shared" si="6"/>
        <v>-62.816955236173754</v>
      </c>
      <c r="R33" s="18">
        <f t="shared" si="7"/>
        <v>185.17363277867057</v>
      </c>
      <c r="S33" s="16"/>
    </row>
    <row r="34" spans="12:19" x14ac:dyDescent="0.25">
      <c r="L34">
        <f t="shared" si="11"/>
        <v>0.5</v>
      </c>
      <c r="M34">
        <f t="shared" si="16"/>
        <v>5.2</v>
      </c>
      <c r="N34" s="18">
        <f t="shared" si="3"/>
        <v>35.031694830933262</v>
      </c>
      <c r="O34" s="18">
        <f t="shared" si="4"/>
        <v>-34.402952313483695</v>
      </c>
      <c r="P34" s="18">
        <f t="shared" si="5"/>
        <v>-115.57174900675302</v>
      </c>
      <c r="Q34" s="18">
        <f t="shared" si="6"/>
        <v>-21.619968393809923</v>
      </c>
      <c r="R34" s="18">
        <f t="shared" si="7"/>
        <v>192.63642472167902</v>
      </c>
      <c r="S34" s="16"/>
    </row>
    <row r="35" spans="12:19" x14ac:dyDescent="0.25">
      <c r="L35">
        <f t="shared" si="11"/>
        <v>1</v>
      </c>
      <c r="M35">
        <f t="shared" si="16"/>
        <v>5.4</v>
      </c>
      <c r="N35" s="18">
        <f t="shared" si="3"/>
        <v>63.246995914070872</v>
      </c>
      <c r="O35" s="18">
        <f t="shared" si="4"/>
        <v>-8.6260207284979167</v>
      </c>
      <c r="P35" s="18">
        <f t="shared" si="5"/>
        <v>-79.571034715395086</v>
      </c>
      <c r="Q35" s="18">
        <f t="shared" si="6"/>
        <v>16.706563405325028</v>
      </c>
      <c r="R35" s="18">
        <f t="shared" si="7"/>
        <v>198.84611006465278</v>
      </c>
      <c r="S35" s="16"/>
    </row>
    <row r="36" spans="12:19" x14ac:dyDescent="0.25">
      <c r="L36">
        <f t="shared" si="11"/>
        <v>2</v>
      </c>
      <c r="M36">
        <f t="shared" si="16"/>
        <v>5.8</v>
      </c>
      <c r="N36" s="18">
        <f t="shared" si="3"/>
        <v>109.41205458221802</v>
      </c>
      <c r="O36" s="18">
        <f t="shared" si="4"/>
        <v>32.879395774153082</v>
      </c>
      <c r="P36" s="18">
        <f t="shared" si="5"/>
        <v>-18.796793258200378</v>
      </c>
      <c r="Q36" s="18">
        <f t="shared" si="6"/>
        <v>81.668459624629634</v>
      </c>
      <c r="R36" s="18">
        <f t="shared" si="7"/>
        <v>206.84746920629252</v>
      </c>
      <c r="S36" s="16"/>
    </row>
    <row r="37" spans="12:19" x14ac:dyDescent="0.25">
      <c r="L37">
        <f t="shared" si="11"/>
        <v>3</v>
      </c>
      <c r="M37">
        <f t="shared" si="16"/>
        <v>6.2</v>
      </c>
      <c r="N37" s="18">
        <f t="shared" si="3"/>
        <v>141.75089667842974</v>
      </c>
      <c r="O37" s="18">
        <f t="shared" si="4"/>
        <v>61.807631920738537</v>
      </c>
      <c r="P37" s="18">
        <f t="shared" si="5"/>
        <v>27.241463129694857</v>
      </c>
      <c r="Q37" s="18">
        <f t="shared" si="6"/>
        <v>130.25352138251569</v>
      </c>
      <c r="R37" s="18">
        <f t="shared" si="7"/>
        <v>208.45367538307937</v>
      </c>
      <c r="S37" s="16"/>
    </row>
    <row r="38" spans="12:19" x14ac:dyDescent="0.25">
      <c r="L38">
        <f t="shared" si="11"/>
        <v>4</v>
      </c>
      <c r="M38">
        <f t="shared" si="16"/>
        <v>6.6</v>
      </c>
      <c r="N38" s="18">
        <f t="shared" si="3"/>
        <v>159.91212545031712</v>
      </c>
      <c r="O38" s="18">
        <f t="shared" si="4"/>
        <v>79.086142359690101</v>
      </c>
      <c r="P38" s="18">
        <f t="shared" si="5"/>
        <v>58.849842815003363</v>
      </c>
      <c r="Q38" s="18">
        <f t="shared" si="6"/>
        <v>161.37433575146008</v>
      </c>
      <c r="R38" s="18">
        <f t="shared" si="7"/>
        <v>202.71685520630203</v>
      </c>
      <c r="S38" s="16"/>
    </row>
    <row r="39" spans="12:19" x14ac:dyDescent="0.25">
      <c r="L39">
        <f t="shared" si="11"/>
        <v>5</v>
      </c>
      <c r="M39">
        <f t="shared" si="16"/>
        <v>7</v>
      </c>
      <c r="N39" s="18">
        <f t="shared" si="3"/>
        <v>163.2800225580493</v>
      </c>
      <c r="O39" s="18">
        <f t="shared" si="4"/>
        <v>85.528857731718261</v>
      </c>
      <c r="P39" s="18">
        <f t="shared" si="5"/>
        <v>76.287356691222357</v>
      </c>
      <c r="Q39" s="18">
        <f t="shared" si="6"/>
        <v>173.70200944160567</v>
      </c>
      <c r="R39" s="18">
        <f t="shared" si="7"/>
        <v>188.29616506990385</v>
      </c>
      <c r="S39" s="16"/>
    </row>
    <row r="40" spans="12:19" x14ac:dyDescent="0.25">
      <c r="L40">
        <f t="shared" si="11"/>
        <v>6</v>
      </c>
      <c r="M40">
        <f t="shared" si="16"/>
        <v>7.4</v>
      </c>
      <c r="N40" s="18">
        <f t="shared" si="3"/>
        <v>150.94030350997559</v>
      </c>
      <c r="O40" s="18">
        <f t="shared" si="4"/>
        <v>81.803162166180272</v>
      </c>
      <c r="P40" s="18">
        <f t="shared" si="5"/>
        <v>79.705897307300205</v>
      </c>
      <c r="Q40" s="18">
        <f t="shared" si="6"/>
        <v>165.60757435573703</v>
      </c>
      <c r="R40" s="18">
        <f t="shared" si="7"/>
        <v>163.46909366230463</v>
      </c>
      <c r="S40" s="16"/>
    </row>
    <row r="41" spans="12:19" x14ac:dyDescent="0.25">
      <c r="L41">
        <f t="shared" si="11"/>
        <v>7</v>
      </c>
      <c r="M41">
        <f t="shared" si="16"/>
        <v>7.8000000000000007</v>
      </c>
      <c r="N41" s="18">
        <f t="shared" si="3"/>
        <v>121.67402007371521</v>
      </c>
      <c r="O41" s="18">
        <f t="shared" si="4"/>
        <v>68.417465025500192</v>
      </c>
      <c r="P41" s="18">
        <f t="shared" si="5"/>
        <v>69.117124082074326</v>
      </c>
      <c r="Q41" s="18">
        <f t="shared" si="6"/>
        <v>135.13912543953089</v>
      </c>
      <c r="R41" s="18">
        <f t="shared" si="7"/>
        <v>126.15935233774002</v>
      </c>
      <c r="S41" s="16"/>
    </row>
    <row r="42" spans="12:19" x14ac:dyDescent="0.25">
      <c r="L42">
        <f t="shared" si="11"/>
        <v>8</v>
      </c>
      <c r="M42">
        <f t="shared" si="16"/>
        <v>8.1999999999999993</v>
      </c>
      <c r="N42" s="18">
        <f t="shared" si="3"/>
        <v>73.981345348717397</v>
      </c>
      <c r="O42" s="18">
        <f t="shared" si="4"/>
        <v>45.728105264195378</v>
      </c>
      <c r="P42" s="18">
        <f t="shared" si="5"/>
        <v>44.385977036341579</v>
      </c>
      <c r="Q42" s="18">
        <f t="shared" si="6"/>
        <v>80.037787066949022</v>
      </c>
      <c r="R42" s="18">
        <f t="shared" si="7"/>
        <v>73.984610932819933</v>
      </c>
      <c r="S42" s="16"/>
    </row>
    <row r="43" spans="12:19" x14ac:dyDescent="0.25">
      <c r="L43">
        <f t="shared" si="11"/>
        <v>9</v>
      </c>
      <c r="M43">
        <f t="shared" si="16"/>
        <v>8.6</v>
      </c>
      <c r="N43" s="18">
        <f t="shared" si="3"/>
        <v>6.1375454761439681</v>
      </c>
      <c r="O43" s="18">
        <f t="shared" si="4"/>
        <v>13.964622123060456</v>
      </c>
      <c r="P43" s="18">
        <f t="shared" si="5"/>
        <v>5.2507989827657013</v>
      </c>
      <c r="Q43" s="18">
        <f t="shared" si="6"/>
        <v>-2.2037956853178198</v>
      </c>
      <c r="R43" s="18">
        <f t="shared" si="7"/>
        <v>4.3280012102832135</v>
      </c>
      <c r="S43" s="16"/>
    </row>
    <row r="44" spans="12:19" x14ac:dyDescent="0.25">
      <c r="L44">
        <f t="shared" si="11"/>
        <v>9.5</v>
      </c>
      <c r="M44">
        <f t="shared" si="16"/>
        <v>8.8000000000000007</v>
      </c>
      <c r="N44" s="18">
        <f t="shared" si="3"/>
        <v>-35.919882295409913</v>
      </c>
      <c r="O44" s="18">
        <f t="shared" si="4"/>
        <v>-5.2726408054928875</v>
      </c>
      <c r="P44" s="18">
        <f t="shared" si="5"/>
        <v>-19.823682409657327</v>
      </c>
      <c r="Q44" s="18">
        <f t="shared" si="6"/>
        <v>-54.328796277975144</v>
      </c>
      <c r="R44" s="18">
        <f t="shared" si="7"/>
        <v>-37.914013411858328</v>
      </c>
      <c r="S44" s="16"/>
    </row>
    <row r="45" spans="12:19" x14ac:dyDescent="0.25">
      <c r="L45">
        <f t="shared" si="11"/>
        <v>9.99</v>
      </c>
      <c r="M45">
        <f t="shared" si="16"/>
        <v>8.9960000000000004</v>
      </c>
      <c r="N45" s="18">
        <f t="shared" si="3"/>
        <v>-82.702359460794042</v>
      </c>
      <c r="O45" s="18">
        <f t="shared" si="4"/>
        <v>-26.276561551103352</v>
      </c>
      <c r="P45" s="18">
        <f t="shared" si="5"/>
        <v>-48.016710403176425</v>
      </c>
      <c r="Q45" s="18">
        <f t="shared" si="6"/>
        <v>-112.9596219933004</v>
      </c>
      <c r="R45" s="18">
        <f t="shared" si="7"/>
        <v>-84.5539424684479</v>
      </c>
      <c r="S45" s="16"/>
    </row>
    <row r="46" spans="12:19" x14ac:dyDescent="0.25">
      <c r="L46">
        <f t="shared" si="11"/>
        <v>10</v>
      </c>
      <c r="M46">
        <f t="shared" si="16"/>
        <v>9</v>
      </c>
      <c r="N46" s="18">
        <f t="shared" si="3"/>
        <v>-83.716035580037044</v>
      </c>
      <c r="O46" s="18">
        <f t="shared" si="4"/>
        <v>-26.727291554285877</v>
      </c>
      <c r="P46" s="18">
        <f t="shared" si="5"/>
        <v>-48.629684071560341</v>
      </c>
      <c r="Q46" s="18">
        <f t="shared" si="6"/>
        <v>-114.23617585169399</v>
      </c>
      <c r="R46" s="18">
        <f t="shared" si="7"/>
        <v>-85.56211705287771</v>
      </c>
      <c r="S46" s="16"/>
    </row>
    <row r="47" spans="12:19" x14ac:dyDescent="0.25">
      <c r="L47">
        <f>L33</f>
        <v>0.01</v>
      </c>
      <c r="M47">
        <f t="shared" ref="M47:M60" si="17">IF($F$9=0,M46,$M$46+($F$9-$M$46)/10*L47)</f>
        <v>9</v>
      </c>
      <c r="N47" s="18">
        <f t="shared" si="3"/>
        <v>-83.716035580037044</v>
      </c>
      <c r="O47" s="18">
        <f t="shared" si="4"/>
        <v>-26.727291554285877</v>
      </c>
      <c r="P47" s="18">
        <f t="shared" si="5"/>
        <v>-48.629684071560341</v>
      </c>
      <c r="Q47" s="18">
        <f t="shared" si="6"/>
        <v>-114.23617585169399</v>
      </c>
      <c r="R47" s="18">
        <f t="shared" si="7"/>
        <v>-85.56211705287771</v>
      </c>
      <c r="S47" s="16"/>
    </row>
    <row r="48" spans="12:19" x14ac:dyDescent="0.25">
      <c r="L48">
        <f t="shared" si="11"/>
        <v>0.5</v>
      </c>
      <c r="M48">
        <f t="shared" si="17"/>
        <v>9</v>
      </c>
      <c r="N48" s="18">
        <f t="shared" si="3"/>
        <v>-83.716035580037044</v>
      </c>
      <c r="O48" s="18">
        <f t="shared" si="4"/>
        <v>-26.727291554285877</v>
      </c>
      <c r="P48" s="18">
        <f t="shared" si="5"/>
        <v>-48.629684071560341</v>
      </c>
      <c r="Q48" s="18">
        <f t="shared" si="6"/>
        <v>-114.23617585169399</v>
      </c>
      <c r="R48" s="18">
        <f t="shared" si="7"/>
        <v>-85.56211705287771</v>
      </c>
      <c r="S48" s="16"/>
    </row>
    <row r="49" spans="7:19" x14ac:dyDescent="0.25">
      <c r="L49">
        <f t="shared" si="11"/>
        <v>1</v>
      </c>
      <c r="M49">
        <f t="shared" si="17"/>
        <v>9</v>
      </c>
      <c r="N49" s="18">
        <f t="shared" si="3"/>
        <v>-83.716035580037044</v>
      </c>
      <c r="O49" s="18">
        <f t="shared" si="4"/>
        <v>-26.727291554285877</v>
      </c>
      <c r="P49" s="18">
        <f t="shared" si="5"/>
        <v>-48.629684071560341</v>
      </c>
      <c r="Q49" s="18">
        <f t="shared" si="6"/>
        <v>-114.23617585169399</v>
      </c>
      <c r="R49" s="18">
        <f t="shared" si="7"/>
        <v>-85.56211705287771</v>
      </c>
      <c r="S49" s="16"/>
    </row>
    <row r="50" spans="7:19" x14ac:dyDescent="0.25">
      <c r="L50">
        <f t="shared" si="11"/>
        <v>2</v>
      </c>
      <c r="M50">
        <f t="shared" si="17"/>
        <v>9</v>
      </c>
      <c r="N50" s="18">
        <f t="shared" si="3"/>
        <v>-83.716035580037044</v>
      </c>
      <c r="O50" s="18">
        <f t="shared" si="4"/>
        <v>-26.727291554285877</v>
      </c>
      <c r="P50" s="18">
        <f t="shared" si="5"/>
        <v>-48.629684071560341</v>
      </c>
      <c r="Q50" s="18">
        <f t="shared" si="6"/>
        <v>-114.23617585169399</v>
      </c>
      <c r="R50" s="18">
        <f t="shared" si="7"/>
        <v>-85.56211705287771</v>
      </c>
      <c r="S50" s="16"/>
    </row>
    <row r="51" spans="7:19" x14ac:dyDescent="0.25">
      <c r="L51">
        <f t="shared" si="11"/>
        <v>3</v>
      </c>
      <c r="M51">
        <f t="shared" si="17"/>
        <v>9</v>
      </c>
      <c r="N51" s="18">
        <f t="shared" si="3"/>
        <v>-83.716035580037044</v>
      </c>
      <c r="O51" s="18">
        <f t="shared" si="4"/>
        <v>-26.727291554285877</v>
      </c>
      <c r="P51" s="18">
        <f t="shared" si="5"/>
        <v>-48.629684071560341</v>
      </c>
      <c r="Q51" s="18">
        <f t="shared" si="6"/>
        <v>-114.23617585169399</v>
      </c>
      <c r="R51" s="18">
        <f t="shared" si="7"/>
        <v>-85.56211705287771</v>
      </c>
      <c r="S51" s="16"/>
    </row>
    <row r="52" spans="7:19" x14ac:dyDescent="0.25">
      <c r="G52" s="15"/>
      <c r="L52">
        <f t="shared" si="11"/>
        <v>4</v>
      </c>
      <c r="M52">
        <f t="shared" si="17"/>
        <v>9</v>
      </c>
      <c r="N52" s="18">
        <f t="shared" si="3"/>
        <v>-83.716035580037044</v>
      </c>
      <c r="O52" s="18">
        <f t="shared" si="4"/>
        <v>-26.727291554285877</v>
      </c>
      <c r="P52" s="18">
        <f t="shared" si="5"/>
        <v>-48.629684071560341</v>
      </c>
      <c r="Q52" s="18">
        <f t="shared" si="6"/>
        <v>-114.23617585169399</v>
      </c>
      <c r="R52" s="18">
        <f t="shared" si="7"/>
        <v>-85.56211705287771</v>
      </c>
      <c r="S52" s="16"/>
    </row>
    <row r="53" spans="7:19" x14ac:dyDescent="0.25">
      <c r="L53">
        <f t="shared" si="11"/>
        <v>5</v>
      </c>
      <c r="M53">
        <f t="shared" si="17"/>
        <v>9</v>
      </c>
      <c r="N53" s="18">
        <f t="shared" si="3"/>
        <v>-83.716035580037044</v>
      </c>
      <c r="O53" s="18">
        <f t="shared" si="4"/>
        <v>-26.727291554285877</v>
      </c>
      <c r="P53" s="18">
        <f t="shared" si="5"/>
        <v>-48.629684071560341</v>
      </c>
      <c r="Q53" s="18">
        <f t="shared" si="6"/>
        <v>-114.23617585169399</v>
      </c>
      <c r="R53" s="18">
        <f t="shared" si="7"/>
        <v>-85.56211705287771</v>
      </c>
      <c r="S53" s="16"/>
    </row>
    <row r="54" spans="7:19" x14ac:dyDescent="0.25">
      <c r="G54" s="15"/>
      <c r="L54">
        <f t="shared" si="11"/>
        <v>6</v>
      </c>
      <c r="M54">
        <f t="shared" si="17"/>
        <v>9</v>
      </c>
      <c r="N54" s="18">
        <f t="shared" si="3"/>
        <v>-83.716035580037044</v>
      </c>
      <c r="O54" s="18">
        <f t="shared" si="4"/>
        <v>-26.727291554285877</v>
      </c>
      <c r="P54" s="18">
        <f t="shared" si="5"/>
        <v>-48.629684071560341</v>
      </c>
      <c r="Q54" s="18">
        <f t="shared" si="6"/>
        <v>-114.23617585169399</v>
      </c>
      <c r="R54" s="18">
        <f t="shared" si="7"/>
        <v>-85.56211705287771</v>
      </c>
      <c r="S54" s="16"/>
    </row>
    <row r="55" spans="7:19" x14ac:dyDescent="0.25">
      <c r="L55">
        <f t="shared" si="11"/>
        <v>7</v>
      </c>
      <c r="M55">
        <f t="shared" si="17"/>
        <v>9</v>
      </c>
      <c r="N55" s="18">
        <f t="shared" si="3"/>
        <v>-83.716035580037044</v>
      </c>
      <c r="O55" s="18">
        <f t="shared" si="4"/>
        <v>-26.727291554285877</v>
      </c>
      <c r="P55" s="18">
        <f t="shared" si="5"/>
        <v>-48.629684071560341</v>
      </c>
      <c r="Q55" s="18">
        <f t="shared" si="6"/>
        <v>-114.23617585169399</v>
      </c>
      <c r="R55" s="18">
        <f t="shared" si="7"/>
        <v>-85.56211705287771</v>
      </c>
      <c r="S55" s="16"/>
    </row>
    <row r="56" spans="7:19" x14ac:dyDescent="0.25">
      <c r="L56">
        <f t="shared" si="11"/>
        <v>8</v>
      </c>
      <c r="M56">
        <f t="shared" si="17"/>
        <v>9</v>
      </c>
      <c r="N56" s="18">
        <f t="shared" si="3"/>
        <v>-83.716035580037044</v>
      </c>
      <c r="O56" s="18">
        <f t="shared" si="4"/>
        <v>-26.727291554285877</v>
      </c>
      <c r="P56" s="18">
        <f t="shared" si="5"/>
        <v>-48.629684071560341</v>
      </c>
      <c r="Q56" s="18">
        <f t="shared" si="6"/>
        <v>-114.23617585169399</v>
      </c>
      <c r="R56" s="18">
        <f t="shared" si="7"/>
        <v>-85.56211705287771</v>
      </c>
      <c r="S56" s="16"/>
    </row>
    <row r="57" spans="7:19" x14ac:dyDescent="0.25">
      <c r="L57">
        <f t="shared" si="11"/>
        <v>9</v>
      </c>
      <c r="M57">
        <f t="shared" si="17"/>
        <v>9</v>
      </c>
      <c r="N57" s="18">
        <f t="shared" si="3"/>
        <v>-83.716035580037044</v>
      </c>
      <c r="O57" s="18">
        <f t="shared" si="4"/>
        <v>-26.727291554285877</v>
      </c>
      <c r="P57" s="18">
        <f t="shared" si="5"/>
        <v>-48.629684071560341</v>
      </c>
      <c r="Q57" s="18">
        <f t="shared" si="6"/>
        <v>-114.23617585169399</v>
      </c>
      <c r="R57" s="18">
        <f t="shared" si="7"/>
        <v>-85.56211705287771</v>
      </c>
      <c r="S57" s="16"/>
    </row>
    <row r="58" spans="7:19" x14ac:dyDescent="0.25">
      <c r="L58">
        <f t="shared" si="11"/>
        <v>9.5</v>
      </c>
      <c r="M58">
        <f t="shared" si="17"/>
        <v>9</v>
      </c>
      <c r="N58" s="18">
        <f t="shared" si="3"/>
        <v>-83.716035580037044</v>
      </c>
      <c r="O58" s="18">
        <f t="shared" si="4"/>
        <v>-26.727291554285877</v>
      </c>
      <c r="P58" s="18">
        <f t="shared" si="5"/>
        <v>-48.629684071560341</v>
      </c>
      <c r="Q58" s="18">
        <f t="shared" si="6"/>
        <v>-114.23617585169399</v>
      </c>
      <c r="R58" s="18">
        <f t="shared" si="7"/>
        <v>-85.56211705287771</v>
      </c>
      <c r="S58" s="16"/>
    </row>
    <row r="59" spans="7:19" x14ac:dyDescent="0.25">
      <c r="L59">
        <f t="shared" si="11"/>
        <v>9.99</v>
      </c>
      <c r="M59">
        <f t="shared" si="17"/>
        <v>9</v>
      </c>
      <c r="N59" s="18">
        <f t="shared" si="3"/>
        <v>-83.716035580037044</v>
      </c>
      <c r="O59" s="18">
        <f t="shared" si="4"/>
        <v>-26.727291554285877</v>
      </c>
      <c r="P59" s="18">
        <f t="shared" si="5"/>
        <v>-48.629684071560341</v>
      </c>
      <c r="Q59" s="18">
        <f t="shared" si="6"/>
        <v>-114.23617585169399</v>
      </c>
      <c r="R59" s="18">
        <f t="shared" si="7"/>
        <v>-85.56211705287771</v>
      </c>
      <c r="S59" s="16"/>
    </row>
    <row r="60" spans="7:19" x14ac:dyDescent="0.25">
      <c r="L60">
        <f t="shared" si="11"/>
        <v>10</v>
      </c>
      <c r="M60">
        <f t="shared" si="17"/>
        <v>9</v>
      </c>
      <c r="N60" s="18">
        <f t="shared" si="3"/>
        <v>-83.716035580037044</v>
      </c>
      <c r="O60" s="18">
        <f t="shared" si="4"/>
        <v>-26.727291554285877</v>
      </c>
      <c r="P60" s="18">
        <f t="shared" si="5"/>
        <v>-48.629684071560341</v>
      </c>
      <c r="Q60" s="18">
        <f t="shared" si="6"/>
        <v>-114.23617585169399</v>
      </c>
      <c r="R60" s="18">
        <f t="shared" si="7"/>
        <v>-85.56211705287771</v>
      </c>
      <c r="S60" s="16"/>
    </row>
    <row r="61" spans="7:19" x14ac:dyDescent="0.25">
      <c r="L61">
        <f t="shared" si="11"/>
        <v>0.01</v>
      </c>
      <c r="M61">
        <f t="shared" ref="M61:M74" si="18">IF($F$10=0,M60,$M$60+($F$10-$M$60)/10*L61)</f>
        <v>9</v>
      </c>
      <c r="N61" s="18">
        <f t="shared" si="3"/>
        <v>-83.716035580037044</v>
      </c>
      <c r="O61" s="18">
        <f t="shared" si="4"/>
        <v>-26.727291554285877</v>
      </c>
      <c r="P61" s="18">
        <f t="shared" si="5"/>
        <v>-48.629684071560341</v>
      </c>
      <c r="Q61" s="18">
        <f t="shared" si="6"/>
        <v>-114.23617585169399</v>
      </c>
      <c r="R61" s="18">
        <f t="shared" si="7"/>
        <v>-85.56211705287771</v>
      </c>
      <c r="S61" s="16"/>
    </row>
    <row r="62" spans="7:19" x14ac:dyDescent="0.25">
      <c r="L62">
        <f t="shared" si="11"/>
        <v>0.5</v>
      </c>
      <c r="M62">
        <f t="shared" si="18"/>
        <v>9</v>
      </c>
      <c r="N62" s="18">
        <f t="shared" si="3"/>
        <v>-83.716035580037044</v>
      </c>
      <c r="O62" s="18">
        <f t="shared" si="4"/>
        <v>-26.727291554285877</v>
      </c>
      <c r="P62" s="18">
        <f t="shared" si="5"/>
        <v>-48.629684071560341</v>
      </c>
      <c r="Q62" s="18">
        <f t="shared" si="6"/>
        <v>-114.23617585169399</v>
      </c>
      <c r="R62" s="18">
        <f t="shared" si="7"/>
        <v>-85.56211705287771</v>
      </c>
      <c r="S62" s="16"/>
    </row>
    <row r="63" spans="7:19" x14ac:dyDescent="0.25">
      <c r="L63">
        <f t="shared" si="11"/>
        <v>1</v>
      </c>
      <c r="M63">
        <f t="shared" si="18"/>
        <v>9</v>
      </c>
      <c r="N63" s="18">
        <f t="shared" si="3"/>
        <v>-83.716035580037044</v>
      </c>
      <c r="O63" s="18">
        <f t="shared" si="4"/>
        <v>-26.727291554285877</v>
      </c>
      <c r="P63" s="18">
        <f t="shared" si="5"/>
        <v>-48.629684071560341</v>
      </c>
      <c r="Q63" s="18">
        <f t="shared" si="6"/>
        <v>-114.23617585169399</v>
      </c>
      <c r="R63" s="18">
        <f t="shared" si="7"/>
        <v>-85.56211705287771</v>
      </c>
      <c r="S63" s="16"/>
    </row>
    <row r="64" spans="7:19" x14ac:dyDescent="0.25">
      <c r="L64">
        <f t="shared" si="11"/>
        <v>2</v>
      </c>
      <c r="M64">
        <f t="shared" si="18"/>
        <v>9</v>
      </c>
      <c r="N64" s="18">
        <f t="shared" si="3"/>
        <v>-83.716035580037044</v>
      </c>
      <c r="O64" s="18">
        <f t="shared" si="4"/>
        <v>-26.727291554285877</v>
      </c>
      <c r="P64" s="18">
        <f t="shared" si="5"/>
        <v>-48.629684071560341</v>
      </c>
      <c r="Q64" s="18">
        <f t="shared" si="6"/>
        <v>-114.23617585169399</v>
      </c>
      <c r="R64" s="18">
        <f t="shared" si="7"/>
        <v>-85.56211705287771</v>
      </c>
      <c r="S64" s="16"/>
    </row>
    <row r="65" spans="12:19" x14ac:dyDescent="0.25">
      <c r="L65">
        <f t="shared" si="11"/>
        <v>3</v>
      </c>
      <c r="M65">
        <f t="shared" si="18"/>
        <v>9</v>
      </c>
      <c r="N65" s="18">
        <f t="shared" si="3"/>
        <v>-83.716035580037044</v>
      </c>
      <c r="O65" s="18">
        <f t="shared" si="4"/>
        <v>-26.727291554285877</v>
      </c>
      <c r="P65" s="18">
        <f t="shared" si="5"/>
        <v>-48.629684071560341</v>
      </c>
      <c r="Q65" s="18">
        <f t="shared" si="6"/>
        <v>-114.23617585169399</v>
      </c>
      <c r="R65" s="18">
        <f t="shared" si="7"/>
        <v>-85.56211705287771</v>
      </c>
      <c r="S65" s="16"/>
    </row>
    <row r="66" spans="12:19" x14ac:dyDescent="0.25">
      <c r="L66">
        <f t="shared" si="11"/>
        <v>4</v>
      </c>
      <c r="M66">
        <f t="shared" si="18"/>
        <v>9</v>
      </c>
      <c r="N66" s="18">
        <f t="shared" si="3"/>
        <v>-83.716035580037044</v>
      </c>
      <c r="O66" s="18">
        <f t="shared" si="4"/>
        <v>-26.727291554285877</v>
      </c>
      <c r="P66" s="18">
        <f t="shared" si="5"/>
        <v>-48.629684071560341</v>
      </c>
      <c r="Q66" s="18">
        <f t="shared" si="6"/>
        <v>-114.23617585169399</v>
      </c>
      <c r="R66" s="18">
        <f t="shared" si="7"/>
        <v>-85.56211705287771</v>
      </c>
      <c r="S66" s="16"/>
    </row>
    <row r="67" spans="12:19" x14ac:dyDescent="0.25">
      <c r="L67">
        <f t="shared" si="11"/>
        <v>5</v>
      </c>
      <c r="M67">
        <f t="shared" si="18"/>
        <v>9</v>
      </c>
      <c r="N67" s="18">
        <f t="shared" si="3"/>
        <v>-83.716035580037044</v>
      </c>
      <c r="O67" s="18">
        <f t="shared" si="4"/>
        <v>-26.727291554285877</v>
      </c>
      <c r="P67" s="18">
        <f t="shared" si="5"/>
        <v>-48.629684071560341</v>
      </c>
      <c r="Q67" s="18">
        <f t="shared" si="6"/>
        <v>-114.23617585169399</v>
      </c>
      <c r="R67" s="18">
        <f t="shared" si="7"/>
        <v>-85.56211705287771</v>
      </c>
      <c r="S67" s="16"/>
    </row>
    <row r="68" spans="12:19" x14ac:dyDescent="0.25">
      <c r="L68">
        <f t="shared" si="11"/>
        <v>6</v>
      </c>
      <c r="M68">
        <f t="shared" si="18"/>
        <v>9</v>
      </c>
      <c r="N68" s="18">
        <f t="shared" si="3"/>
        <v>-83.716035580037044</v>
      </c>
      <c r="O68" s="18">
        <f t="shared" si="4"/>
        <v>-26.727291554285877</v>
      </c>
      <c r="P68" s="18">
        <f t="shared" si="5"/>
        <v>-48.629684071560341</v>
      </c>
      <c r="Q68" s="18">
        <f t="shared" si="6"/>
        <v>-114.23617585169399</v>
      </c>
      <c r="R68" s="18">
        <f t="shared" si="7"/>
        <v>-85.56211705287771</v>
      </c>
      <c r="S68" s="16"/>
    </row>
    <row r="69" spans="12:19" x14ac:dyDescent="0.25">
      <c r="L69">
        <f t="shared" si="11"/>
        <v>7</v>
      </c>
      <c r="M69">
        <f t="shared" si="18"/>
        <v>9</v>
      </c>
      <c r="N69" s="18">
        <f t="shared" ref="N69:N116" si="19">Moment($M69,$B$4,$B$5,$B$15*1000,$B$10*1000,$F$6:$F$8,G$6:G$8)</f>
        <v>-83.716035580037044</v>
      </c>
      <c r="O69" s="18">
        <f t="shared" ref="O69:O116" si="20">Moment($M69,$B$4,$B$5,$B$15*1000,$B$10*1000,$F$6:$F$8,H$6:H$8)</f>
        <v>-26.727291554285877</v>
      </c>
      <c r="P69" s="18">
        <f t="shared" ref="P69:P116" si="21">Moment($M69,$B$4,$B$5,$B$15*1000,$B$10*1000,$F$6:$F$8,I$6:I$8)</f>
        <v>-48.629684071560341</v>
      </c>
      <c r="Q69" s="18">
        <f t="shared" ref="Q69:Q116" si="22">Moment($M69,$B$4,$B$5,$B$15*1000,$B$10*1000,$F$6:$F$8,J$6:J$8)</f>
        <v>-114.23617585169399</v>
      </c>
      <c r="R69" s="18">
        <f t="shared" ref="R69:R116" si="23">Moment($M69,$B$4,$B$5,$B$15*1000,$B$10*1000,$F$6:$F$8,K$6:K$8)</f>
        <v>-85.56211705287771</v>
      </c>
      <c r="S69" s="16"/>
    </row>
    <row r="70" spans="12:19" x14ac:dyDescent="0.25">
      <c r="L70">
        <f t="shared" si="11"/>
        <v>8</v>
      </c>
      <c r="M70">
        <f t="shared" si="18"/>
        <v>9</v>
      </c>
      <c r="N70" s="18">
        <f t="shared" si="19"/>
        <v>-83.716035580037044</v>
      </c>
      <c r="O70" s="18">
        <f t="shared" si="20"/>
        <v>-26.727291554285877</v>
      </c>
      <c r="P70" s="18">
        <f t="shared" si="21"/>
        <v>-48.629684071560341</v>
      </c>
      <c r="Q70" s="18">
        <f t="shared" si="22"/>
        <v>-114.23617585169399</v>
      </c>
      <c r="R70" s="18">
        <f t="shared" si="23"/>
        <v>-85.56211705287771</v>
      </c>
      <c r="S70" s="16"/>
    </row>
    <row r="71" spans="12:19" x14ac:dyDescent="0.25">
      <c r="L71">
        <f t="shared" si="11"/>
        <v>9</v>
      </c>
      <c r="M71">
        <f t="shared" si="18"/>
        <v>9</v>
      </c>
      <c r="N71" s="18">
        <f t="shared" si="19"/>
        <v>-83.716035580037044</v>
      </c>
      <c r="O71" s="18">
        <f t="shared" si="20"/>
        <v>-26.727291554285877</v>
      </c>
      <c r="P71" s="18">
        <f t="shared" si="21"/>
        <v>-48.629684071560341</v>
      </c>
      <c r="Q71" s="18">
        <f t="shared" si="22"/>
        <v>-114.23617585169399</v>
      </c>
      <c r="R71" s="18">
        <f t="shared" si="23"/>
        <v>-85.56211705287771</v>
      </c>
      <c r="S71" s="16"/>
    </row>
    <row r="72" spans="12:19" x14ac:dyDescent="0.25">
      <c r="L72">
        <f t="shared" si="11"/>
        <v>9.5</v>
      </c>
      <c r="M72">
        <f t="shared" si="18"/>
        <v>9</v>
      </c>
      <c r="N72" s="18">
        <f t="shared" si="19"/>
        <v>-83.716035580037044</v>
      </c>
      <c r="O72" s="18">
        <f t="shared" si="20"/>
        <v>-26.727291554285877</v>
      </c>
      <c r="P72" s="18">
        <f t="shared" si="21"/>
        <v>-48.629684071560341</v>
      </c>
      <c r="Q72" s="18">
        <f t="shared" si="22"/>
        <v>-114.23617585169399</v>
      </c>
      <c r="R72" s="18">
        <f t="shared" si="23"/>
        <v>-85.56211705287771</v>
      </c>
      <c r="S72" s="16"/>
    </row>
    <row r="73" spans="12:19" x14ac:dyDescent="0.25">
      <c r="L73">
        <f t="shared" si="11"/>
        <v>9.99</v>
      </c>
      <c r="M73">
        <f t="shared" si="18"/>
        <v>9</v>
      </c>
      <c r="N73" s="18">
        <f t="shared" si="19"/>
        <v>-83.716035580037044</v>
      </c>
      <c r="O73" s="18">
        <f t="shared" si="20"/>
        <v>-26.727291554285877</v>
      </c>
      <c r="P73" s="18">
        <f t="shared" si="21"/>
        <v>-48.629684071560341</v>
      </c>
      <c r="Q73" s="18">
        <f t="shared" si="22"/>
        <v>-114.23617585169399</v>
      </c>
      <c r="R73" s="18">
        <f t="shared" si="23"/>
        <v>-85.56211705287771</v>
      </c>
      <c r="S73" s="16"/>
    </row>
    <row r="74" spans="12:19" x14ac:dyDescent="0.25">
      <c r="L74">
        <f t="shared" si="11"/>
        <v>10</v>
      </c>
      <c r="M74">
        <f t="shared" si="18"/>
        <v>9</v>
      </c>
      <c r="N74" s="18">
        <f t="shared" si="19"/>
        <v>-83.716035580037044</v>
      </c>
      <c r="O74" s="18">
        <f t="shared" si="20"/>
        <v>-26.727291554285877</v>
      </c>
      <c r="P74" s="18">
        <f t="shared" si="21"/>
        <v>-48.629684071560341</v>
      </c>
      <c r="Q74" s="18">
        <f t="shared" si="22"/>
        <v>-114.23617585169399</v>
      </c>
      <c r="R74" s="18">
        <f t="shared" si="23"/>
        <v>-85.56211705287771</v>
      </c>
      <c r="S74" s="16"/>
    </row>
    <row r="75" spans="12:19" x14ac:dyDescent="0.25">
      <c r="L75">
        <f t="shared" si="11"/>
        <v>0.01</v>
      </c>
      <c r="M75">
        <f t="shared" ref="M75:M88" si="24">IF($F$11=0,M74,$M$74+($F$11-$M$74)/10*L75)</f>
        <v>9</v>
      </c>
      <c r="N75" s="18">
        <f t="shared" si="19"/>
        <v>-83.716035580037044</v>
      </c>
      <c r="O75" s="18">
        <f t="shared" si="20"/>
        <v>-26.727291554285877</v>
      </c>
      <c r="P75" s="18">
        <f t="shared" si="21"/>
        <v>-48.629684071560341</v>
      </c>
      <c r="Q75" s="18">
        <f t="shared" si="22"/>
        <v>-114.23617585169399</v>
      </c>
      <c r="R75" s="18">
        <f t="shared" si="23"/>
        <v>-85.56211705287771</v>
      </c>
      <c r="S75" s="16"/>
    </row>
    <row r="76" spans="12:19" x14ac:dyDescent="0.25">
      <c r="L76">
        <f t="shared" si="11"/>
        <v>0.5</v>
      </c>
      <c r="M76">
        <f t="shared" si="24"/>
        <v>9</v>
      </c>
      <c r="N76" s="18">
        <f t="shared" si="19"/>
        <v>-83.716035580037044</v>
      </c>
      <c r="O76" s="18">
        <f t="shared" si="20"/>
        <v>-26.727291554285877</v>
      </c>
      <c r="P76" s="18">
        <f t="shared" si="21"/>
        <v>-48.629684071560341</v>
      </c>
      <c r="Q76" s="18">
        <f t="shared" si="22"/>
        <v>-114.23617585169399</v>
      </c>
      <c r="R76" s="18">
        <f t="shared" si="23"/>
        <v>-85.56211705287771</v>
      </c>
      <c r="S76" s="16"/>
    </row>
    <row r="77" spans="12:19" x14ac:dyDescent="0.25">
      <c r="L77">
        <f t="shared" si="11"/>
        <v>1</v>
      </c>
      <c r="M77">
        <f t="shared" si="24"/>
        <v>9</v>
      </c>
      <c r="N77" s="18">
        <f t="shared" si="19"/>
        <v>-83.716035580037044</v>
      </c>
      <c r="O77" s="18">
        <f t="shared" si="20"/>
        <v>-26.727291554285877</v>
      </c>
      <c r="P77" s="18">
        <f t="shared" si="21"/>
        <v>-48.629684071560341</v>
      </c>
      <c r="Q77" s="18">
        <f t="shared" si="22"/>
        <v>-114.23617585169399</v>
      </c>
      <c r="R77" s="18">
        <f t="shared" si="23"/>
        <v>-85.56211705287771</v>
      </c>
      <c r="S77" s="16"/>
    </row>
    <row r="78" spans="12:19" x14ac:dyDescent="0.25">
      <c r="L78">
        <f t="shared" si="11"/>
        <v>2</v>
      </c>
      <c r="M78">
        <f t="shared" si="24"/>
        <v>9</v>
      </c>
      <c r="N78" s="18">
        <f t="shared" si="19"/>
        <v>-83.716035580037044</v>
      </c>
      <c r="O78" s="18">
        <f t="shared" si="20"/>
        <v>-26.727291554285877</v>
      </c>
      <c r="P78" s="18">
        <f t="shared" si="21"/>
        <v>-48.629684071560341</v>
      </c>
      <c r="Q78" s="18">
        <f t="shared" si="22"/>
        <v>-114.23617585169399</v>
      </c>
      <c r="R78" s="18">
        <f t="shared" si="23"/>
        <v>-85.56211705287771</v>
      </c>
      <c r="S78" s="16"/>
    </row>
    <row r="79" spans="12:19" x14ac:dyDescent="0.25">
      <c r="L79">
        <f t="shared" si="11"/>
        <v>3</v>
      </c>
      <c r="M79">
        <f t="shared" si="24"/>
        <v>9</v>
      </c>
      <c r="N79" s="18">
        <f t="shared" si="19"/>
        <v>-83.716035580037044</v>
      </c>
      <c r="O79" s="18">
        <f t="shared" si="20"/>
        <v>-26.727291554285877</v>
      </c>
      <c r="P79" s="18">
        <f t="shared" si="21"/>
        <v>-48.629684071560341</v>
      </c>
      <c r="Q79" s="18">
        <f t="shared" si="22"/>
        <v>-114.23617585169399</v>
      </c>
      <c r="R79" s="18">
        <f t="shared" si="23"/>
        <v>-85.56211705287771</v>
      </c>
      <c r="S79" s="16"/>
    </row>
    <row r="80" spans="12:19" x14ac:dyDescent="0.25">
      <c r="L80">
        <f t="shared" si="11"/>
        <v>4</v>
      </c>
      <c r="M80">
        <f t="shared" si="24"/>
        <v>9</v>
      </c>
      <c r="N80" s="18">
        <f t="shared" si="19"/>
        <v>-83.716035580037044</v>
      </c>
      <c r="O80" s="18">
        <f t="shared" si="20"/>
        <v>-26.727291554285877</v>
      </c>
      <c r="P80" s="18">
        <f t="shared" si="21"/>
        <v>-48.629684071560341</v>
      </c>
      <c r="Q80" s="18">
        <f t="shared" si="22"/>
        <v>-114.23617585169399</v>
      </c>
      <c r="R80" s="18">
        <f t="shared" si="23"/>
        <v>-85.56211705287771</v>
      </c>
      <c r="S80" s="16"/>
    </row>
    <row r="81" spans="12:19" x14ac:dyDescent="0.25">
      <c r="L81">
        <f t="shared" si="11"/>
        <v>5</v>
      </c>
      <c r="M81">
        <f t="shared" si="24"/>
        <v>9</v>
      </c>
      <c r="N81" s="18">
        <f t="shared" si="19"/>
        <v>-83.716035580037044</v>
      </c>
      <c r="O81" s="18">
        <f t="shared" si="20"/>
        <v>-26.727291554285877</v>
      </c>
      <c r="P81" s="18">
        <f t="shared" si="21"/>
        <v>-48.629684071560341</v>
      </c>
      <c r="Q81" s="18">
        <f t="shared" si="22"/>
        <v>-114.23617585169399</v>
      </c>
      <c r="R81" s="18">
        <f t="shared" si="23"/>
        <v>-85.56211705287771</v>
      </c>
      <c r="S81" s="16"/>
    </row>
    <row r="82" spans="12:19" x14ac:dyDescent="0.25">
      <c r="L82">
        <f t="shared" si="11"/>
        <v>6</v>
      </c>
      <c r="M82">
        <f t="shared" si="24"/>
        <v>9</v>
      </c>
      <c r="N82" s="18">
        <f t="shared" si="19"/>
        <v>-83.716035580037044</v>
      </c>
      <c r="O82" s="18">
        <f t="shared" si="20"/>
        <v>-26.727291554285877</v>
      </c>
      <c r="P82" s="18">
        <f t="shared" si="21"/>
        <v>-48.629684071560341</v>
      </c>
      <c r="Q82" s="18">
        <f t="shared" si="22"/>
        <v>-114.23617585169399</v>
      </c>
      <c r="R82" s="18">
        <f t="shared" si="23"/>
        <v>-85.56211705287771</v>
      </c>
      <c r="S82" s="16"/>
    </row>
    <row r="83" spans="12:19" x14ac:dyDescent="0.25">
      <c r="L83">
        <f t="shared" si="11"/>
        <v>7</v>
      </c>
      <c r="M83">
        <f t="shared" si="24"/>
        <v>9</v>
      </c>
      <c r="N83" s="18">
        <f t="shared" si="19"/>
        <v>-83.716035580037044</v>
      </c>
      <c r="O83" s="18">
        <f t="shared" si="20"/>
        <v>-26.727291554285877</v>
      </c>
      <c r="P83" s="18">
        <f t="shared" si="21"/>
        <v>-48.629684071560341</v>
      </c>
      <c r="Q83" s="18">
        <f t="shared" si="22"/>
        <v>-114.23617585169399</v>
      </c>
      <c r="R83" s="18">
        <f t="shared" si="23"/>
        <v>-85.56211705287771</v>
      </c>
      <c r="S83" s="16"/>
    </row>
    <row r="84" spans="12:19" x14ac:dyDescent="0.25">
      <c r="L84">
        <f t="shared" ref="L84:L88" si="25">L70</f>
        <v>8</v>
      </c>
      <c r="M84">
        <f t="shared" si="24"/>
        <v>9</v>
      </c>
      <c r="N84" s="18">
        <f t="shared" si="19"/>
        <v>-83.716035580037044</v>
      </c>
      <c r="O84" s="18">
        <f t="shared" si="20"/>
        <v>-26.727291554285877</v>
      </c>
      <c r="P84" s="18">
        <f t="shared" si="21"/>
        <v>-48.629684071560341</v>
      </c>
      <c r="Q84" s="18">
        <f t="shared" si="22"/>
        <v>-114.23617585169399</v>
      </c>
      <c r="R84" s="18">
        <f t="shared" si="23"/>
        <v>-85.56211705287771</v>
      </c>
      <c r="S84" s="16"/>
    </row>
    <row r="85" spans="12:19" x14ac:dyDescent="0.25">
      <c r="L85">
        <f t="shared" si="25"/>
        <v>9</v>
      </c>
      <c r="M85">
        <f t="shared" si="24"/>
        <v>9</v>
      </c>
      <c r="N85" s="18">
        <f t="shared" si="19"/>
        <v>-83.716035580037044</v>
      </c>
      <c r="O85" s="18">
        <f t="shared" si="20"/>
        <v>-26.727291554285877</v>
      </c>
      <c r="P85" s="18">
        <f t="shared" si="21"/>
        <v>-48.629684071560341</v>
      </c>
      <c r="Q85" s="18">
        <f t="shared" si="22"/>
        <v>-114.23617585169399</v>
      </c>
      <c r="R85" s="18">
        <f t="shared" si="23"/>
        <v>-85.56211705287771</v>
      </c>
      <c r="S85" s="16"/>
    </row>
    <row r="86" spans="12:19" x14ac:dyDescent="0.25">
      <c r="L86">
        <f t="shared" si="25"/>
        <v>9.5</v>
      </c>
      <c r="M86">
        <f t="shared" si="24"/>
        <v>9</v>
      </c>
      <c r="N86" s="18">
        <f t="shared" si="19"/>
        <v>-83.716035580037044</v>
      </c>
      <c r="O86" s="18">
        <f t="shared" si="20"/>
        <v>-26.727291554285877</v>
      </c>
      <c r="P86" s="18">
        <f t="shared" si="21"/>
        <v>-48.629684071560341</v>
      </c>
      <c r="Q86" s="18">
        <f t="shared" si="22"/>
        <v>-114.23617585169399</v>
      </c>
      <c r="R86" s="18">
        <f t="shared" si="23"/>
        <v>-85.56211705287771</v>
      </c>
      <c r="S86" s="16"/>
    </row>
    <row r="87" spans="12:19" x14ac:dyDescent="0.25">
      <c r="L87">
        <f t="shared" si="25"/>
        <v>9.99</v>
      </c>
      <c r="M87">
        <f t="shared" si="24"/>
        <v>9</v>
      </c>
      <c r="N87" s="18">
        <f t="shared" si="19"/>
        <v>-83.716035580037044</v>
      </c>
      <c r="O87" s="18">
        <f t="shared" si="20"/>
        <v>-26.727291554285877</v>
      </c>
      <c r="P87" s="18">
        <f t="shared" si="21"/>
        <v>-48.629684071560341</v>
      </c>
      <c r="Q87" s="18">
        <f t="shared" si="22"/>
        <v>-114.23617585169399</v>
      </c>
      <c r="R87" s="18">
        <f t="shared" si="23"/>
        <v>-85.56211705287771</v>
      </c>
      <c r="S87" s="16"/>
    </row>
    <row r="88" spans="12:19" x14ac:dyDescent="0.25">
      <c r="L88">
        <f t="shared" si="25"/>
        <v>10</v>
      </c>
      <c r="M88">
        <f t="shared" si="24"/>
        <v>9</v>
      </c>
      <c r="N88" s="18">
        <f t="shared" si="19"/>
        <v>-83.716035580037044</v>
      </c>
      <c r="O88" s="18">
        <f t="shared" si="20"/>
        <v>-26.727291554285877</v>
      </c>
      <c r="P88" s="18">
        <f t="shared" si="21"/>
        <v>-48.629684071560341</v>
      </c>
      <c r="Q88" s="18">
        <f t="shared" si="22"/>
        <v>-114.23617585169399</v>
      </c>
      <c r="R88" s="18">
        <f t="shared" si="23"/>
        <v>-85.56211705287771</v>
      </c>
      <c r="S88" s="16"/>
    </row>
    <row r="89" spans="12:19" x14ac:dyDescent="0.25">
      <c r="L89">
        <f>L75</f>
        <v>0.01</v>
      </c>
      <c r="M89">
        <f t="shared" ref="M89:M102" si="26">IF($F$12=0,M88,$M$88+($F$12-$M$88)/10*L89)</f>
        <v>9</v>
      </c>
      <c r="N89" s="18">
        <f t="shared" si="19"/>
        <v>-83.716035580037044</v>
      </c>
      <c r="O89" s="18">
        <f t="shared" si="20"/>
        <v>-26.727291554285877</v>
      </c>
      <c r="P89" s="18">
        <f t="shared" si="21"/>
        <v>-48.629684071560341</v>
      </c>
      <c r="Q89" s="18">
        <f t="shared" si="22"/>
        <v>-114.23617585169399</v>
      </c>
      <c r="R89" s="18">
        <f t="shared" si="23"/>
        <v>-85.56211705287771</v>
      </c>
      <c r="S89" s="16"/>
    </row>
    <row r="90" spans="12:19" x14ac:dyDescent="0.25">
      <c r="L90">
        <f t="shared" ref="L90:L116" si="27">L76</f>
        <v>0.5</v>
      </c>
      <c r="M90">
        <f t="shared" si="26"/>
        <v>9</v>
      </c>
      <c r="N90" s="18">
        <f t="shared" si="19"/>
        <v>-83.716035580037044</v>
      </c>
      <c r="O90" s="18">
        <f t="shared" si="20"/>
        <v>-26.727291554285877</v>
      </c>
      <c r="P90" s="18">
        <f t="shared" si="21"/>
        <v>-48.629684071560341</v>
      </c>
      <c r="Q90" s="18">
        <f t="shared" si="22"/>
        <v>-114.23617585169399</v>
      </c>
      <c r="R90" s="18">
        <f t="shared" si="23"/>
        <v>-85.56211705287771</v>
      </c>
      <c r="S90" s="16"/>
    </row>
    <row r="91" spans="12:19" x14ac:dyDescent="0.25">
      <c r="L91">
        <f t="shared" si="27"/>
        <v>1</v>
      </c>
      <c r="M91">
        <f t="shared" si="26"/>
        <v>9</v>
      </c>
      <c r="N91" s="18">
        <f t="shared" si="19"/>
        <v>-83.716035580037044</v>
      </c>
      <c r="O91" s="18">
        <f t="shared" si="20"/>
        <v>-26.727291554285877</v>
      </c>
      <c r="P91" s="18">
        <f t="shared" si="21"/>
        <v>-48.629684071560341</v>
      </c>
      <c r="Q91" s="18">
        <f t="shared" si="22"/>
        <v>-114.23617585169399</v>
      </c>
      <c r="R91" s="18">
        <f t="shared" si="23"/>
        <v>-85.56211705287771</v>
      </c>
      <c r="S91" s="16"/>
    </row>
    <row r="92" spans="12:19" x14ac:dyDescent="0.25">
      <c r="L92">
        <f t="shared" si="27"/>
        <v>2</v>
      </c>
      <c r="M92">
        <f t="shared" si="26"/>
        <v>9</v>
      </c>
      <c r="N92" s="18">
        <f t="shared" si="19"/>
        <v>-83.716035580037044</v>
      </c>
      <c r="O92" s="18">
        <f t="shared" si="20"/>
        <v>-26.727291554285877</v>
      </c>
      <c r="P92" s="18">
        <f t="shared" si="21"/>
        <v>-48.629684071560341</v>
      </c>
      <c r="Q92" s="18">
        <f t="shared" si="22"/>
        <v>-114.23617585169399</v>
      </c>
      <c r="R92" s="18">
        <f t="shared" si="23"/>
        <v>-85.56211705287771</v>
      </c>
      <c r="S92" s="16"/>
    </row>
    <row r="93" spans="12:19" x14ac:dyDescent="0.25">
      <c r="L93">
        <f t="shared" si="27"/>
        <v>3</v>
      </c>
      <c r="M93">
        <f t="shared" si="26"/>
        <v>9</v>
      </c>
      <c r="N93" s="18">
        <f t="shared" si="19"/>
        <v>-83.716035580037044</v>
      </c>
      <c r="O93" s="18">
        <f t="shared" si="20"/>
        <v>-26.727291554285877</v>
      </c>
      <c r="P93" s="18">
        <f t="shared" si="21"/>
        <v>-48.629684071560341</v>
      </c>
      <c r="Q93" s="18">
        <f t="shared" si="22"/>
        <v>-114.23617585169399</v>
      </c>
      <c r="R93" s="18">
        <f t="shared" si="23"/>
        <v>-85.56211705287771</v>
      </c>
      <c r="S93" s="16"/>
    </row>
    <row r="94" spans="12:19" x14ac:dyDescent="0.25">
      <c r="L94">
        <f t="shared" si="27"/>
        <v>4</v>
      </c>
      <c r="M94">
        <f t="shared" si="26"/>
        <v>9</v>
      </c>
      <c r="N94" s="18">
        <f t="shared" si="19"/>
        <v>-83.716035580037044</v>
      </c>
      <c r="O94" s="18">
        <f t="shared" si="20"/>
        <v>-26.727291554285877</v>
      </c>
      <c r="P94" s="18">
        <f t="shared" si="21"/>
        <v>-48.629684071560341</v>
      </c>
      <c r="Q94" s="18">
        <f t="shared" si="22"/>
        <v>-114.23617585169399</v>
      </c>
      <c r="R94" s="18">
        <f t="shared" si="23"/>
        <v>-85.56211705287771</v>
      </c>
      <c r="S94" s="16"/>
    </row>
    <row r="95" spans="12:19" x14ac:dyDescent="0.25">
      <c r="L95">
        <f t="shared" si="27"/>
        <v>5</v>
      </c>
      <c r="M95">
        <f t="shared" si="26"/>
        <v>9</v>
      </c>
      <c r="N95" s="18">
        <f t="shared" si="19"/>
        <v>-83.716035580037044</v>
      </c>
      <c r="O95" s="18">
        <f t="shared" si="20"/>
        <v>-26.727291554285877</v>
      </c>
      <c r="P95" s="18">
        <f t="shared" si="21"/>
        <v>-48.629684071560341</v>
      </c>
      <c r="Q95" s="18">
        <f t="shared" si="22"/>
        <v>-114.23617585169399</v>
      </c>
      <c r="R95" s="18">
        <f t="shared" si="23"/>
        <v>-85.56211705287771</v>
      </c>
      <c r="S95" s="16"/>
    </row>
    <row r="96" spans="12:19" x14ac:dyDescent="0.25">
      <c r="L96">
        <f t="shared" si="27"/>
        <v>6</v>
      </c>
      <c r="M96">
        <f t="shared" si="26"/>
        <v>9</v>
      </c>
      <c r="N96" s="18">
        <f t="shared" si="19"/>
        <v>-83.716035580037044</v>
      </c>
      <c r="O96" s="18">
        <f t="shared" si="20"/>
        <v>-26.727291554285877</v>
      </c>
      <c r="P96" s="18">
        <f t="shared" si="21"/>
        <v>-48.629684071560341</v>
      </c>
      <c r="Q96" s="18">
        <f t="shared" si="22"/>
        <v>-114.23617585169399</v>
      </c>
      <c r="R96" s="18">
        <f t="shared" si="23"/>
        <v>-85.56211705287771</v>
      </c>
      <c r="S96" s="16"/>
    </row>
    <row r="97" spans="12:19" x14ac:dyDescent="0.25">
      <c r="L97">
        <f t="shared" si="27"/>
        <v>7</v>
      </c>
      <c r="M97">
        <f t="shared" si="26"/>
        <v>9</v>
      </c>
      <c r="N97" s="18">
        <f t="shared" si="19"/>
        <v>-83.716035580037044</v>
      </c>
      <c r="O97" s="18">
        <f t="shared" si="20"/>
        <v>-26.727291554285877</v>
      </c>
      <c r="P97" s="18">
        <f t="shared" si="21"/>
        <v>-48.629684071560341</v>
      </c>
      <c r="Q97" s="18">
        <f t="shared" si="22"/>
        <v>-114.23617585169399</v>
      </c>
      <c r="R97" s="18">
        <f t="shared" si="23"/>
        <v>-85.56211705287771</v>
      </c>
      <c r="S97" s="16"/>
    </row>
    <row r="98" spans="12:19" x14ac:dyDescent="0.25">
      <c r="L98">
        <f t="shared" si="27"/>
        <v>8</v>
      </c>
      <c r="M98">
        <f t="shared" si="26"/>
        <v>9</v>
      </c>
      <c r="N98" s="18">
        <f t="shared" si="19"/>
        <v>-83.716035580037044</v>
      </c>
      <c r="O98" s="18">
        <f t="shared" si="20"/>
        <v>-26.727291554285877</v>
      </c>
      <c r="P98" s="18">
        <f t="shared" si="21"/>
        <v>-48.629684071560341</v>
      </c>
      <c r="Q98" s="18">
        <f t="shared" si="22"/>
        <v>-114.23617585169399</v>
      </c>
      <c r="R98" s="18">
        <f t="shared" si="23"/>
        <v>-85.56211705287771</v>
      </c>
      <c r="S98" s="16"/>
    </row>
    <row r="99" spans="12:19" x14ac:dyDescent="0.25">
      <c r="L99">
        <f t="shared" si="27"/>
        <v>9</v>
      </c>
      <c r="M99">
        <f t="shared" si="26"/>
        <v>9</v>
      </c>
      <c r="N99" s="18">
        <f t="shared" si="19"/>
        <v>-83.716035580037044</v>
      </c>
      <c r="O99" s="18">
        <f t="shared" si="20"/>
        <v>-26.727291554285877</v>
      </c>
      <c r="P99" s="18">
        <f t="shared" si="21"/>
        <v>-48.629684071560341</v>
      </c>
      <c r="Q99" s="18">
        <f t="shared" si="22"/>
        <v>-114.23617585169399</v>
      </c>
      <c r="R99" s="18">
        <f t="shared" si="23"/>
        <v>-85.56211705287771</v>
      </c>
      <c r="S99" s="16"/>
    </row>
    <row r="100" spans="12:19" x14ac:dyDescent="0.25">
      <c r="L100">
        <f t="shared" si="27"/>
        <v>9.5</v>
      </c>
      <c r="M100">
        <f t="shared" si="26"/>
        <v>9</v>
      </c>
      <c r="N100" s="18">
        <f t="shared" si="19"/>
        <v>-83.716035580037044</v>
      </c>
      <c r="O100" s="18">
        <f t="shared" si="20"/>
        <v>-26.727291554285877</v>
      </c>
      <c r="P100" s="18">
        <f t="shared" si="21"/>
        <v>-48.629684071560341</v>
      </c>
      <c r="Q100" s="18">
        <f t="shared" si="22"/>
        <v>-114.23617585169399</v>
      </c>
      <c r="R100" s="18">
        <f t="shared" si="23"/>
        <v>-85.56211705287771</v>
      </c>
      <c r="S100" s="16"/>
    </row>
    <row r="101" spans="12:19" x14ac:dyDescent="0.25">
      <c r="L101">
        <f t="shared" si="27"/>
        <v>9.99</v>
      </c>
      <c r="M101">
        <f t="shared" si="26"/>
        <v>9</v>
      </c>
      <c r="N101" s="18">
        <f t="shared" si="19"/>
        <v>-83.716035580037044</v>
      </c>
      <c r="O101" s="18">
        <f t="shared" si="20"/>
        <v>-26.727291554285877</v>
      </c>
      <c r="P101" s="18">
        <f t="shared" si="21"/>
        <v>-48.629684071560341</v>
      </c>
      <c r="Q101" s="18">
        <f t="shared" si="22"/>
        <v>-114.23617585169399</v>
      </c>
      <c r="R101" s="18">
        <f t="shared" si="23"/>
        <v>-85.56211705287771</v>
      </c>
      <c r="S101" s="16"/>
    </row>
    <row r="102" spans="12:19" x14ac:dyDescent="0.25">
      <c r="L102">
        <f t="shared" si="27"/>
        <v>10</v>
      </c>
      <c r="M102">
        <f t="shared" si="26"/>
        <v>9</v>
      </c>
      <c r="N102" s="18">
        <f t="shared" si="19"/>
        <v>-83.716035580037044</v>
      </c>
      <c r="O102" s="18">
        <f t="shared" si="20"/>
        <v>-26.727291554285877</v>
      </c>
      <c r="P102" s="18">
        <f t="shared" si="21"/>
        <v>-48.629684071560341</v>
      </c>
      <c r="Q102" s="18">
        <f t="shared" si="22"/>
        <v>-114.23617585169399</v>
      </c>
      <c r="R102" s="18">
        <f t="shared" si="23"/>
        <v>-85.56211705287771</v>
      </c>
      <c r="S102" s="16"/>
    </row>
    <row r="103" spans="12:19" x14ac:dyDescent="0.25">
      <c r="L103">
        <f>L89</f>
        <v>0.01</v>
      </c>
      <c r="M103">
        <f t="shared" ref="M103:M116" si="28">IF($F$12=0,$M$102+($B$4-$M$102)/10*L103,$M$102+($B$4-$M$102)/10*L103)</f>
        <v>9.0009999999999994</v>
      </c>
      <c r="N103" s="18">
        <f t="shared" si="19"/>
        <v>-83.553161097910177</v>
      </c>
      <c r="O103" s="18">
        <f t="shared" si="20"/>
        <v>-26.673445060057063</v>
      </c>
      <c r="P103" s="18">
        <f t="shared" si="21"/>
        <v>-48.533163407742016</v>
      </c>
      <c r="Q103" s="18">
        <f t="shared" si="22"/>
        <v>-114.01415451707911</v>
      </c>
      <c r="R103" s="18">
        <f t="shared" si="23"/>
        <v>-85.397853310607232</v>
      </c>
      <c r="S103" s="16"/>
    </row>
    <row r="104" spans="12:19" x14ac:dyDescent="0.25">
      <c r="L104">
        <f t="shared" si="27"/>
        <v>0.5</v>
      </c>
      <c r="M104">
        <f t="shared" si="28"/>
        <v>9.0500000000000007</v>
      </c>
      <c r="N104" s="18">
        <f t="shared" si="19"/>
        <v>-75.75578565252944</v>
      </c>
      <c r="O104" s="18">
        <f t="shared" si="20"/>
        <v>-24.102381557043945</v>
      </c>
      <c r="P104" s="18">
        <f t="shared" si="21"/>
        <v>-43.919363044307218</v>
      </c>
      <c r="Q104" s="18">
        <f t="shared" si="22"/>
        <v>-103.38436237384728</v>
      </c>
      <c r="R104" s="18">
        <f t="shared" si="23"/>
        <v>-77.525910668541499</v>
      </c>
      <c r="S104" s="16"/>
    </row>
    <row r="105" spans="12:19" x14ac:dyDescent="0.25">
      <c r="L105">
        <f t="shared" si="27"/>
        <v>1</v>
      </c>
      <c r="M105">
        <f t="shared" si="28"/>
        <v>9.1</v>
      </c>
      <c r="N105" s="18">
        <f t="shared" si="19"/>
        <v>-68.172311284087712</v>
      </c>
      <c r="O105" s="18">
        <f t="shared" si="20"/>
        <v>-21.614882522546566</v>
      </c>
      <c r="P105" s="18">
        <f t="shared" si="21"/>
        <v>-39.445600348983831</v>
      </c>
      <c r="Q105" s="18">
        <f t="shared" si="22"/>
        <v>-93.044535073005903</v>
      </c>
      <c r="R105" s="18">
        <f t="shared" si="23"/>
        <v>-69.854372539628642</v>
      </c>
      <c r="S105" s="16"/>
    </row>
    <row r="106" spans="12:19" x14ac:dyDescent="0.25">
      <c r="L106">
        <f t="shared" si="27"/>
        <v>2</v>
      </c>
      <c r="M106">
        <f t="shared" si="28"/>
        <v>9.1999999999999993</v>
      </c>
      <c r="N106" s="18">
        <f t="shared" si="19"/>
        <v>-54.149727718056937</v>
      </c>
      <c r="O106" s="18">
        <f t="shared" si="20"/>
        <v>-17.051043937937351</v>
      </c>
      <c r="P106" s="18">
        <f t="shared" si="21"/>
        <v>-31.210163597910046</v>
      </c>
      <c r="Q106" s="18">
        <f t="shared" si="22"/>
        <v>-73.920692924131345</v>
      </c>
      <c r="R106" s="18">
        <f t="shared" si="23"/>
        <v>-55.626273525277071</v>
      </c>
      <c r="S106" s="16"/>
    </row>
    <row r="107" spans="12:19" x14ac:dyDescent="0.25">
      <c r="L107">
        <f t="shared" si="27"/>
        <v>3</v>
      </c>
      <c r="M107">
        <f t="shared" si="28"/>
        <v>9.3000000000000007</v>
      </c>
      <c r="N107" s="18">
        <f t="shared" si="19"/>
        <v>-41.676065792818299</v>
      </c>
      <c r="O107" s="18">
        <f t="shared" si="20"/>
        <v>-13.033535283564181</v>
      </c>
      <c r="P107" s="18">
        <f t="shared" si="21"/>
        <v>-23.928029962368274</v>
      </c>
      <c r="Q107" s="18">
        <f t="shared" si="22"/>
        <v>-56.90395312987696</v>
      </c>
      <c r="R107" s="18">
        <f t="shared" si="23"/>
        <v>-42.919461385113735</v>
      </c>
      <c r="S107" s="16"/>
    </row>
    <row r="108" spans="12:19" x14ac:dyDescent="0.25">
      <c r="L108">
        <f t="shared" si="27"/>
        <v>4</v>
      </c>
      <c r="M108">
        <f t="shared" si="28"/>
        <v>9.4</v>
      </c>
      <c r="N108" s="18">
        <f t="shared" si="19"/>
        <v>-30.778703397898333</v>
      </c>
      <c r="O108" s="18">
        <f t="shared" si="20"/>
        <v>-9.5599890640211527</v>
      </c>
      <c r="P108" s="18">
        <f t="shared" si="21"/>
        <v>-17.603623223071082</v>
      </c>
      <c r="Q108" s="18">
        <f t="shared" si="22"/>
        <v>-42.0330692529947</v>
      </c>
      <c r="R108" s="18">
        <f t="shared" si="23"/>
        <v>-31.775163569822858</v>
      </c>
      <c r="S108" s="16"/>
    </row>
    <row r="109" spans="12:19" x14ac:dyDescent="0.25">
      <c r="L109">
        <f t="shared" si="27"/>
        <v>5</v>
      </c>
      <c r="M109">
        <f t="shared" si="28"/>
        <v>9.5</v>
      </c>
      <c r="N109" s="18">
        <f t="shared" si="19"/>
        <v>-21.484707765172786</v>
      </c>
      <c r="O109" s="18">
        <f t="shared" si="20"/>
        <v>-6.6279405676369265</v>
      </c>
      <c r="P109" s="18">
        <f t="shared" si="21"/>
        <v>-12.241188733683748</v>
      </c>
      <c r="Q109" s="18">
        <f t="shared" si="22"/>
        <v>-29.34637069626303</v>
      </c>
      <c r="R109" s="18">
        <f t="shared" si="23"/>
        <v>-22.234287679118854</v>
      </c>
      <c r="S109" s="16"/>
    </row>
    <row r="110" spans="12:19" x14ac:dyDescent="0.25">
      <c r="L110">
        <f t="shared" si="27"/>
        <v>6</v>
      </c>
      <c r="M110">
        <f t="shared" si="28"/>
        <v>9.6</v>
      </c>
      <c r="N110" s="18">
        <f t="shared" si="19"/>
        <v>-13.820916156654475</v>
      </c>
      <c r="O110" s="18">
        <f t="shared" si="20"/>
        <v>-4.2348535994899548</v>
      </c>
      <c r="P110" s="18">
        <f t="shared" si="21"/>
        <v>-7.8448402630411609</v>
      </c>
      <c r="Q110" s="18">
        <f t="shared" si="22"/>
        <v>-18.881872809863673</v>
      </c>
      <c r="R110" s="18">
        <f t="shared" si="23"/>
        <v>-14.337503961598541</v>
      </c>
      <c r="S110" s="16"/>
    </row>
    <row r="111" spans="12:19" x14ac:dyDescent="0.25">
      <c r="L111">
        <f t="shared" si="27"/>
        <v>7</v>
      </c>
      <c r="M111">
        <f t="shared" si="28"/>
        <v>9.6999999999999993</v>
      </c>
      <c r="N111" s="18">
        <f t="shared" si="19"/>
        <v>-7.8140046757737309</v>
      </c>
      <c r="O111" s="18">
        <f t="shared" si="20"/>
        <v>-2.3781422034175685</v>
      </c>
      <c r="P111" s="18">
        <f t="shared" si="21"/>
        <v>-4.4185997118064648</v>
      </c>
      <c r="Q111" s="18">
        <f t="shared" si="22"/>
        <v>-10.677370819995044</v>
      </c>
      <c r="R111" s="18">
        <f t="shared" si="23"/>
        <v>-8.1253159376865476</v>
      </c>
      <c r="S111" s="16"/>
    </row>
    <row r="112" spans="12:19" x14ac:dyDescent="0.25">
      <c r="L112">
        <f t="shared" si="27"/>
        <v>8</v>
      </c>
      <c r="M112">
        <f t="shared" si="28"/>
        <v>9.8000000000000007</v>
      </c>
      <c r="N112" s="18">
        <f t="shared" si="19"/>
        <v>-3.4905450032718051</v>
      </c>
      <c r="O112" s="18">
        <f t="shared" si="20"/>
        <v>-1.0551883917786984</v>
      </c>
      <c r="P112" s="18">
        <f t="shared" si="21"/>
        <v>-1.9664296730500772</v>
      </c>
      <c r="Q112" s="18">
        <f t="shared" si="22"/>
        <v>-4.7705172970108265</v>
      </c>
      <c r="R112" s="18">
        <f t="shared" si="23"/>
        <v>-3.6381188443252732</v>
      </c>
      <c r="S112" s="16"/>
    </row>
    <row r="113" spans="12:19" x14ac:dyDescent="0.25">
      <c r="L113">
        <f t="shared" si="27"/>
        <v>9</v>
      </c>
      <c r="M113">
        <f t="shared" si="28"/>
        <v>9.9</v>
      </c>
      <c r="N113" s="18">
        <f t="shared" si="19"/>
        <v>-0.87704886003816096</v>
      </c>
      <c r="O113" s="18">
        <f t="shared" si="20"/>
        <v>-0.26335590210408277</v>
      </c>
      <c r="P113" s="18">
        <f t="shared" si="21"/>
        <v>-0.49225880691791596</v>
      </c>
      <c r="Q113" s="18">
        <f t="shared" si="22"/>
        <v>-1.1988828830258074</v>
      </c>
      <c r="R113" s="18">
        <f t="shared" si="23"/>
        <v>-0.91624560131313859</v>
      </c>
      <c r="S113" s="16"/>
    </row>
    <row r="114" spans="12:19" x14ac:dyDescent="0.25">
      <c r="L114">
        <f t="shared" si="27"/>
        <v>9.5</v>
      </c>
      <c r="M114">
        <f t="shared" si="28"/>
        <v>9.9499999999999993</v>
      </c>
      <c r="N114" s="18">
        <f t="shared" si="19"/>
        <v>-0.21981376155163301</v>
      </c>
      <c r="O114" s="18">
        <f t="shared" si="20"/>
        <v>-6.5783817162117841E-2</v>
      </c>
      <c r="P114" s="18">
        <f t="shared" si="21"/>
        <v>-0.12314610869505185</v>
      </c>
      <c r="Q114" s="18">
        <f t="shared" si="22"/>
        <v>-0.30050237512218081</v>
      </c>
      <c r="R114" s="18">
        <f t="shared" si="23"/>
        <v>-0.22990085567001148</v>
      </c>
      <c r="S114" s="16"/>
    </row>
    <row r="115" spans="12:19" x14ac:dyDescent="0.25">
      <c r="L115">
        <f t="shared" si="27"/>
        <v>9.99</v>
      </c>
      <c r="M115">
        <f t="shared" si="28"/>
        <v>9.9990000000000006</v>
      </c>
      <c r="N115" s="18">
        <f t="shared" si="19"/>
        <v>-8.8141715885261493E-5</v>
      </c>
      <c r="O115" s="18">
        <f t="shared" si="20"/>
        <v>-2.6291912955693997E-5</v>
      </c>
      <c r="P115" s="18">
        <f t="shared" si="21"/>
        <v>-4.9290357572289246E-5</v>
      </c>
      <c r="Q115" s="18">
        <f t="shared" si="22"/>
        <v>-1.2050735854559331E-4</v>
      </c>
      <c r="R115" s="18">
        <f t="shared" si="23"/>
        <v>-9.2289414299339542E-5</v>
      </c>
      <c r="S115" s="16"/>
    </row>
    <row r="116" spans="12:19" x14ac:dyDescent="0.25">
      <c r="L116">
        <f t="shared" si="27"/>
        <v>10</v>
      </c>
      <c r="M116">
        <f t="shared" si="28"/>
        <v>10</v>
      </c>
      <c r="N116" s="18">
        <f t="shared" si="19"/>
        <v>-6.4867779497954331E-12</v>
      </c>
      <c r="O116" s="18">
        <f t="shared" si="20"/>
        <v>-8.5860338834244647E-12</v>
      </c>
      <c r="P116" s="18">
        <f t="shared" si="21"/>
        <v>-3.3650416352692026E-12</v>
      </c>
      <c r="Q116" s="18">
        <f t="shared" si="22"/>
        <v>-1.9955442865594183E-12</v>
      </c>
      <c r="R116" s="18">
        <f t="shared" si="23"/>
        <v>-7.0948838743431935E-12</v>
      </c>
    </row>
    <row r="761" spans="12:19" x14ac:dyDescent="0.25">
      <c r="L761" t="s">
        <v>45</v>
      </c>
      <c r="M761" t="s">
        <v>45</v>
      </c>
      <c r="N761" t="s">
        <v>45</v>
      </c>
      <c r="O761" t="s">
        <v>45</v>
      </c>
      <c r="P761" t="s">
        <v>45</v>
      </c>
      <c r="Q761" t="s">
        <v>45</v>
      </c>
      <c r="R761" t="s">
        <v>45</v>
      </c>
      <c r="S761" t="s">
        <v>45</v>
      </c>
    </row>
  </sheetData>
  <pageMargins left="0.7" right="0.7" top="0.78740157499999996" bottom="0.78740157499999996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2</vt:i4>
      </vt:variant>
      <vt:variant>
        <vt:lpstr>Benannte Bereiche</vt:lpstr>
      </vt:variant>
      <vt:variant>
        <vt:i4>1</vt:i4>
      </vt:variant>
    </vt:vector>
  </HeadingPairs>
  <TitlesOfParts>
    <vt:vector size="3" baseType="lpstr">
      <vt:lpstr>Vorlage</vt:lpstr>
      <vt:lpstr>Erweiterte Anwendung</vt:lpstr>
      <vt:lpstr>Vorlage!Druckbereich</vt:lpstr>
    </vt:vector>
  </TitlesOfParts>
  <Company>Poyry Plc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Minder, Pascal</dc:creator>
  <cp:lastModifiedBy>Minder, Pascal</cp:lastModifiedBy>
  <dcterms:created xsi:type="dcterms:W3CDTF">2018-01-16T09:27:42Z</dcterms:created>
  <dcterms:modified xsi:type="dcterms:W3CDTF">2018-02-22T15:50:25Z</dcterms:modified>
</cp:coreProperties>
</file>