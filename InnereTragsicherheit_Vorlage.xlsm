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/>
  <bookViews>
    <workbookView xWindow="240" yWindow="120" windowWidth="24240" windowHeight="13740"/>
  </bookViews>
  <sheets>
    <sheet name="Vorlage" sheetId="2" r:id="rId1"/>
    <sheet name="Erweiterte Anwendung" sheetId="6" r:id="rId2"/>
  </sheets>
  <functionGroups builtInGroupCount="17"/>
  <definedNames>
    <definedName name="_xlnm._FilterDatabase" localSheetId="0" hidden="1">Vorlage!$F$5:$G$12</definedName>
    <definedName name="_xlnm.Print_Area" localSheetId="0">Vorlage!$A$1:$G$43</definedName>
    <definedName name="_xlnm.Criteria" localSheetId="0">Vorlage!$F$5:$G$5</definedName>
  </definedNames>
  <calcPr calcId="145621"/>
  <extLst>
    <ext xmlns:x14="http://schemas.microsoft.com/office/spreadsheetml/2009/9/main" uri="{8193D73E-4604-4355-AFF4-8A2333D13BE4}">
      <x14:definedNames>
        <x14:definedName name="Biegelinie">
          <x14:argumentDescriptions count="7">
            <x14:argumentDescription index="0">x-Koordinate, wo die Verschiebung bestimmt werden soll in m, x=0 am Fundamentrand</x14:argumentDescription>
            <x14:argumentDescription index="1">Länge des Fundaments in m</x14:argumentDescription>
            <x14:argumentDescription index="2">Breite des Fundament in m</x14:argumentDescription>
            <x14:argumentDescription index="3">Steifigkeit des Fundaments EI in kNm2</x14:argumentDescription>
            <x14:argumentDescription index="4">ME-Modul des Baugrunds in kN/m2</x14:argumentDescription>
            <x14:argumentDescription index="5">Bereich mit den Ortskoordinaten der einwirkenden Kräfte in m, x=0 am Fundamentrand</x14:argumentDescription>
            <x14:argumentDescription index="6">Bereich mit den Beträgen der einwirkenden Kräfte in kN</x14:argumentDescription>
          </x14:argumentDescriptions>
        </x14:definedName>
        <x14:definedName name="Moment">
          <x14:argumentDescriptions count="8">
            <x14:argumentDescription index="0">Koordinate, wo das Moment bestimmt werden soll in m, x=0 am Fundamentrand</x14:argumentDescription>
            <x14:argumentDescription index="1">Länge des Fundaments in m</x14:argumentDescription>
            <x14:argumentDescription index="2">Breite des Fundament in m</x14:argumentDescription>
            <x14:argumentDescription index="3">Steifigkeit des Fundaments EI in kNm2</x14:argumentDescription>
            <x14:argumentDescription index="4">ME-Modul des Baugrunds in kN/m2</x14:argumentDescription>
            <x14:argumentDescription index="5">Bereich mit den Ortskoordinaten der einwirkenden Kräfte in m, x=0 am Fundamentrand</x14:argumentDescription>
            <x14:argumentDescription index="6">Bereich mit den Beträgen der einwirkenden Kräfte in kN</x14:argumentDescription>
            <x14:argumentDescription index="7">Optional, Modus WAHR/true-&gt;Spannungstrapezverfahren, sonst BMV [Default=FALSCH/false]</x14:argumentDescription>
          </x14:argumentDescriptions>
        </x14:definedName>
        <x14:definedName name="Querkraft">
          <x14:argumentDescriptions count="8">
            <x14:argumentDescription index="0">Koordinate, wo die Querkraft bestimmt werden soll in. x=0 am Fundamentrand</x14:argumentDescription>
            <x14:argumentDescription index="1">Länge des Fundaments in m</x14:argumentDescription>
            <x14:argumentDescription index="2">Breite des Fundament in m</x14:argumentDescription>
            <x14:argumentDescription index="3">Steifigkeit des Fundaments EI in kNm2</x14:argumentDescription>
            <x14:argumentDescription index="4">ME-Modul des Baugrunds in kN/m2</x14:argumentDescription>
            <x14:argumentDescription index="5">Bereich mit den Ortskoordinaten der einwirkenden Kräfte in m, x=0 am Fundamentrand</x14:argumentDescription>
            <x14:argumentDescription index="6">Bereich mit den Beträgen der einwirkenden Kräfte in kN</x14:argumentDescription>
            <x14:argumentDescription index="7">Optional, Modus WAHR/true-&gt;Spannungstrapezverfahren, sonst BMV [Default=FALSCH/false]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F7" i="2" l="1"/>
  <c r="B13" i="2"/>
  <c r="O3" i="6" l="1"/>
  <c r="P3" i="6"/>
  <c r="Q3" i="6"/>
  <c r="R3" i="6"/>
  <c r="N3" i="6"/>
  <c r="D20" i="6" l="1"/>
  <c r="E20" i="6"/>
  <c r="F20" i="6"/>
  <c r="G20" i="6"/>
  <c r="C20" i="6"/>
  <c r="H10" i="6"/>
  <c r="I10" i="6"/>
  <c r="J10" i="6"/>
  <c r="K10" i="6"/>
  <c r="G10" i="6"/>
  <c r="O2" i="6"/>
  <c r="P2" i="6"/>
  <c r="Q2" i="6"/>
  <c r="R2" i="6"/>
  <c r="N2" i="6"/>
  <c r="L69" i="6" l="1"/>
  <c r="L83" i="6" s="1"/>
  <c r="L97" i="6" s="1"/>
  <c r="L111" i="6" s="1"/>
  <c r="L64" i="6"/>
  <c r="L78" i="6" s="1"/>
  <c r="L92" i="6" s="1"/>
  <c r="L106" i="6" s="1"/>
  <c r="L50" i="6"/>
  <c r="L49" i="6"/>
  <c r="L63" i="6" s="1"/>
  <c r="L77" i="6" s="1"/>
  <c r="L91" i="6" s="1"/>
  <c r="L105" i="6" s="1"/>
  <c r="L47" i="6"/>
  <c r="L61" i="6" s="1"/>
  <c r="L75" i="6" s="1"/>
  <c r="L89" i="6" s="1"/>
  <c r="L103" i="6" s="1"/>
  <c r="L42" i="6"/>
  <c r="L56" i="6" s="1"/>
  <c r="L70" i="6" s="1"/>
  <c r="L84" i="6" s="1"/>
  <c r="L98" i="6" s="1"/>
  <c r="L112" i="6" s="1"/>
  <c r="L41" i="6"/>
  <c r="L55" i="6" s="1"/>
  <c r="L39" i="6"/>
  <c r="L53" i="6" s="1"/>
  <c r="L67" i="6" s="1"/>
  <c r="L81" i="6" s="1"/>
  <c r="L95" i="6" s="1"/>
  <c r="L109" i="6" s="1"/>
  <c r="L38" i="6"/>
  <c r="L52" i="6" s="1"/>
  <c r="L66" i="6" s="1"/>
  <c r="L80" i="6" s="1"/>
  <c r="L94" i="6" s="1"/>
  <c r="L108" i="6" s="1"/>
  <c r="L36" i="6"/>
  <c r="L35" i="6"/>
  <c r="L34" i="6"/>
  <c r="L48" i="6" s="1"/>
  <c r="L62" i="6" s="1"/>
  <c r="L76" i="6" s="1"/>
  <c r="L90" i="6" s="1"/>
  <c r="L104" i="6" s="1"/>
  <c r="L33" i="6"/>
  <c r="L32" i="6"/>
  <c r="L46" i="6" s="1"/>
  <c r="L60" i="6" s="1"/>
  <c r="L74" i="6" s="1"/>
  <c r="L88" i="6" s="1"/>
  <c r="L102" i="6" s="1"/>
  <c r="L116" i="6" s="1"/>
  <c r="L31" i="6"/>
  <c r="L45" i="6" s="1"/>
  <c r="L59" i="6" s="1"/>
  <c r="L73" i="6" s="1"/>
  <c r="L87" i="6" s="1"/>
  <c r="L101" i="6" s="1"/>
  <c r="L115" i="6" s="1"/>
  <c r="L30" i="6"/>
  <c r="L44" i="6" s="1"/>
  <c r="L58" i="6" s="1"/>
  <c r="L72" i="6" s="1"/>
  <c r="L86" i="6" s="1"/>
  <c r="L100" i="6" s="1"/>
  <c r="L114" i="6" s="1"/>
  <c r="L29" i="6"/>
  <c r="L43" i="6" s="1"/>
  <c r="L57" i="6" s="1"/>
  <c r="L71" i="6" s="1"/>
  <c r="L85" i="6" s="1"/>
  <c r="L99" i="6" s="1"/>
  <c r="L113" i="6" s="1"/>
  <c r="L28" i="6"/>
  <c r="L27" i="6"/>
  <c r="L26" i="6"/>
  <c r="L40" i="6" s="1"/>
  <c r="L54" i="6" s="1"/>
  <c r="L68" i="6" s="1"/>
  <c r="L82" i="6" s="1"/>
  <c r="L96" i="6" s="1"/>
  <c r="L110" i="6" s="1"/>
  <c r="L25" i="6"/>
  <c r="M24" i="6"/>
  <c r="L24" i="6"/>
  <c r="L23" i="6"/>
  <c r="L37" i="6" s="1"/>
  <c r="L51" i="6" s="1"/>
  <c r="L65" i="6" s="1"/>
  <c r="L79" i="6" s="1"/>
  <c r="L93" i="6" s="1"/>
  <c r="L107" i="6" s="1"/>
  <c r="M22" i="6"/>
  <c r="L22" i="6"/>
  <c r="B22" i="6"/>
  <c r="L21" i="6"/>
  <c r="M20" i="6"/>
  <c r="L20" i="6"/>
  <c r="L19" i="6"/>
  <c r="M18" i="6"/>
  <c r="M17" i="6"/>
  <c r="M16" i="6"/>
  <c r="M15" i="6"/>
  <c r="B15" i="6"/>
  <c r="M14" i="6"/>
  <c r="B14" i="6"/>
  <c r="M13" i="6"/>
  <c r="B13" i="6"/>
  <c r="M12" i="6"/>
  <c r="M11" i="6"/>
  <c r="M10" i="6"/>
  <c r="M9" i="6"/>
  <c r="M8" i="6"/>
  <c r="M7" i="6"/>
  <c r="M6" i="6"/>
  <c r="M5" i="6"/>
  <c r="M4" i="6"/>
  <c r="G52" i="2"/>
  <c r="B22" i="2"/>
  <c r="M32" i="6" l="1"/>
  <c r="M31" i="6"/>
  <c r="M30" i="6"/>
  <c r="M29" i="6"/>
  <c r="M28" i="6"/>
  <c r="M27" i="6"/>
  <c r="M26" i="6"/>
  <c r="M25" i="6"/>
  <c r="M19" i="6"/>
  <c r="M21" i="6"/>
  <c r="M23" i="6"/>
  <c r="I20" i="2"/>
  <c r="I34" i="2" s="1"/>
  <c r="I21" i="2"/>
  <c r="I35" i="2" s="1"/>
  <c r="I49" i="2" s="1"/>
  <c r="I63" i="2" s="1"/>
  <c r="I77" i="2" s="1"/>
  <c r="I91" i="2" s="1"/>
  <c r="I105" i="2" s="1"/>
  <c r="I22" i="2"/>
  <c r="I36" i="2" s="1"/>
  <c r="I50" i="2" s="1"/>
  <c r="I64" i="2" s="1"/>
  <c r="I78" i="2" s="1"/>
  <c r="I92" i="2" s="1"/>
  <c r="I106" i="2" s="1"/>
  <c r="I23" i="2"/>
  <c r="I37" i="2" s="1"/>
  <c r="I51" i="2" s="1"/>
  <c r="I65" i="2" s="1"/>
  <c r="I79" i="2" s="1"/>
  <c r="I93" i="2" s="1"/>
  <c r="I107" i="2" s="1"/>
  <c r="I24" i="2"/>
  <c r="I38" i="2" s="1"/>
  <c r="I52" i="2" s="1"/>
  <c r="I66" i="2" s="1"/>
  <c r="I80" i="2" s="1"/>
  <c r="I94" i="2" s="1"/>
  <c r="I108" i="2" s="1"/>
  <c r="I25" i="2"/>
  <c r="I39" i="2" s="1"/>
  <c r="I53" i="2" s="1"/>
  <c r="I67" i="2" s="1"/>
  <c r="I81" i="2" s="1"/>
  <c r="I95" i="2" s="1"/>
  <c r="I109" i="2" s="1"/>
  <c r="I26" i="2"/>
  <c r="I40" i="2" s="1"/>
  <c r="I54" i="2" s="1"/>
  <c r="I68" i="2" s="1"/>
  <c r="I82" i="2" s="1"/>
  <c r="I96" i="2" s="1"/>
  <c r="I110" i="2" s="1"/>
  <c r="I27" i="2"/>
  <c r="I41" i="2" s="1"/>
  <c r="I55" i="2" s="1"/>
  <c r="I69" i="2" s="1"/>
  <c r="I83" i="2" s="1"/>
  <c r="I97" i="2" s="1"/>
  <c r="I111" i="2" s="1"/>
  <c r="I28" i="2"/>
  <c r="I42" i="2" s="1"/>
  <c r="I56" i="2" s="1"/>
  <c r="I70" i="2" s="1"/>
  <c r="I84" i="2" s="1"/>
  <c r="I98" i="2" s="1"/>
  <c r="I112" i="2" s="1"/>
  <c r="I29" i="2"/>
  <c r="I43" i="2" s="1"/>
  <c r="I57" i="2" s="1"/>
  <c r="I71" i="2" s="1"/>
  <c r="I85" i="2" s="1"/>
  <c r="I99" i="2" s="1"/>
  <c r="I113" i="2" s="1"/>
  <c r="I30" i="2"/>
  <c r="I44" i="2" s="1"/>
  <c r="I58" i="2" s="1"/>
  <c r="I72" i="2" s="1"/>
  <c r="I86" i="2" s="1"/>
  <c r="I100" i="2" s="1"/>
  <c r="I114" i="2" s="1"/>
  <c r="I31" i="2"/>
  <c r="I45" i="2" s="1"/>
  <c r="I59" i="2" s="1"/>
  <c r="I73" i="2" s="1"/>
  <c r="I87" i="2" s="1"/>
  <c r="I101" i="2" s="1"/>
  <c r="I115" i="2" s="1"/>
  <c r="I32" i="2"/>
  <c r="I46" i="2" s="1"/>
  <c r="I60" i="2" s="1"/>
  <c r="I74" i="2" s="1"/>
  <c r="I88" i="2" s="1"/>
  <c r="I102" i="2" s="1"/>
  <c r="I116" i="2" s="1"/>
  <c r="I19" i="2"/>
  <c r="I33" i="2" s="1"/>
  <c r="I47" i="2" s="1"/>
  <c r="I61" i="2" s="1"/>
  <c r="I75" i="2" s="1"/>
  <c r="M46" i="6" l="1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I48" i="2"/>
  <c r="I62" i="2" s="1"/>
  <c r="I76" i="2" s="1"/>
  <c r="I90" i="2" s="1"/>
  <c r="I104" i="2" s="1"/>
  <c r="I89" i="2"/>
  <c r="I103" i="2" s="1"/>
  <c r="R55" i="6"/>
  <c r="R66" i="6"/>
  <c r="P57" i="6"/>
  <c r="N70" i="6"/>
  <c r="P20" i="6"/>
  <c r="O61" i="6"/>
  <c r="G25" i="6"/>
  <c r="Q100" i="6"/>
  <c r="E24" i="6"/>
  <c r="O102" i="6"/>
  <c r="Q18" i="6"/>
  <c r="Q41" i="6"/>
  <c r="P110" i="6"/>
  <c r="O13" i="6"/>
  <c r="R25" i="6"/>
  <c r="P27" i="6"/>
  <c r="O76" i="6"/>
  <c r="Q103" i="6"/>
  <c r="F23" i="6"/>
  <c r="Q17" i="6"/>
  <c r="Q50" i="6"/>
  <c r="O81" i="6"/>
  <c r="P98" i="6"/>
  <c r="Q68" i="6"/>
  <c r="P92" i="6"/>
  <c r="O70" i="6"/>
  <c r="Q95" i="6"/>
  <c r="Q71" i="6"/>
  <c r="Q108" i="6"/>
  <c r="R9" i="6"/>
  <c r="P24" i="6"/>
  <c r="P11" i="6"/>
  <c r="Q27" i="6"/>
  <c r="O44" i="6"/>
  <c r="O67" i="6"/>
  <c r="Q39" i="6"/>
  <c r="P64" i="6"/>
  <c r="P51" i="6"/>
  <c r="N53" i="6"/>
  <c r="O26" i="6"/>
  <c r="R44" i="6"/>
  <c r="N79" i="6"/>
  <c r="R68" i="6"/>
  <c r="R51" i="6"/>
  <c r="P112" i="6"/>
  <c r="N22" i="6"/>
  <c r="O25" i="6"/>
  <c r="N87" i="6"/>
  <c r="O23" i="6"/>
  <c r="Q40" i="6"/>
  <c r="P65" i="6"/>
  <c r="E25" i="6"/>
  <c r="R77" i="6"/>
  <c r="P101" i="6"/>
  <c r="O80" i="6"/>
  <c r="R81" i="6"/>
  <c r="R83" i="6"/>
  <c r="Q107" i="6"/>
  <c r="O83" i="6"/>
  <c r="N6" i="6"/>
  <c r="R67" i="6"/>
  <c r="R104" i="6"/>
  <c r="Q37" i="6"/>
  <c r="Q29" i="6"/>
  <c r="R15" i="6"/>
  <c r="N59" i="6"/>
  <c r="P76" i="6"/>
  <c r="O99" i="6"/>
  <c r="O17" i="6"/>
  <c r="N91" i="6"/>
  <c r="Q48" i="6"/>
  <c r="O7" i="6"/>
  <c r="P37" i="6"/>
  <c r="Q19" i="6"/>
  <c r="N32" i="6"/>
  <c r="Q21" i="6"/>
  <c r="N76" i="6"/>
  <c r="N33" i="6"/>
  <c r="R94" i="6"/>
  <c r="P73" i="6"/>
  <c r="R41" i="6"/>
  <c r="R96" i="6"/>
  <c r="G22" i="6"/>
  <c r="R114" i="6"/>
  <c r="N48" i="6"/>
  <c r="R99" i="6"/>
  <c r="N93" i="6"/>
  <c r="Q94" i="6"/>
  <c r="P16" i="6"/>
  <c r="Q4" i="6"/>
  <c r="P28" i="6"/>
  <c r="Q31" i="6"/>
  <c r="P93" i="6"/>
  <c r="Q26" i="6"/>
  <c r="R88" i="6"/>
  <c r="P21" i="6"/>
  <c r="N67" i="6"/>
  <c r="Q84" i="6"/>
  <c r="O116" i="6"/>
  <c r="P23" i="6"/>
  <c r="R52" i="6"/>
  <c r="R30" i="6"/>
  <c r="Q99" i="6"/>
  <c r="P61" i="6"/>
  <c r="Q105" i="6"/>
  <c r="Q65" i="6"/>
  <c r="O100" i="6"/>
  <c r="R98" i="6"/>
  <c r="O29" i="6"/>
  <c r="O30" i="6"/>
  <c r="R31" i="6"/>
  <c r="Q45" i="6"/>
  <c r="O68" i="6"/>
  <c r="Q104" i="6"/>
  <c r="Q106" i="6"/>
  <c r="Q13" i="6"/>
  <c r="O11" i="6"/>
  <c r="R109" i="6"/>
  <c r="R20" i="6"/>
  <c r="Q109" i="6"/>
  <c r="Q112" i="6"/>
  <c r="R37" i="6"/>
  <c r="O18" i="6"/>
  <c r="R110" i="6"/>
  <c r="N82" i="6"/>
  <c r="P70" i="6"/>
  <c r="P115" i="6"/>
  <c r="R105" i="6"/>
  <c r="N92" i="6"/>
  <c r="O6" i="6"/>
  <c r="O95" i="6"/>
  <c r="Q67" i="6"/>
  <c r="P29" i="6"/>
  <c r="N17" i="6"/>
  <c r="P49" i="6"/>
  <c r="N54" i="6"/>
  <c r="N51" i="6"/>
  <c r="O57" i="6"/>
  <c r="Q113" i="6"/>
  <c r="Q35" i="6"/>
  <c r="P5" i="6"/>
  <c r="R27" i="6"/>
  <c r="O9" i="6"/>
  <c r="P12" i="6"/>
  <c r="O74" i="6"/>
  <c r="P96" i="6"/>
  <c r="N15" i="6"/>
  <c r="N34" i="6"/>
  <c r="N63" i="6"/>
  <c r="N18" i="6"/>
  <c r="P17" i="6"/>
  <c r="O111" i="6"/>
  <c r="N19" i="6"/>
  <c r="R112" i="6"/>
  <c r="R111" i="6"/>
  <c r="N55" i="6"/>
  <c r="Q42" i="6"/>
  <c r="O62" i="6"/>
  <c r="Q79" i="6"/>
  <c r="R63" i="6"/>
  <c r="R82" i="6"/>
  <c r="N46" i="6"/>
  <c r="R86" i="6"/>
  <c r="N31" i="6"/>
  <c r="Q61" i="6"/>
  <c r="P60" i="6"/>
  <c r="Q63" i="6"/>
  <c r="P48" i="6"/>
  <c r="N88" i="6"/>
  <c r="P32" i="6"/>
  <c r="N12" i="6"/>
  <c r="N95" i="6"/>
  <c r="O69" i="6"/>
  <c r="P72" i="6"/>
  <c r="P108" i="6"/>
  <c r="R38" i="6"/>
  <c r="O112" i="6"/>
  <c r="Q38" i="6"/>
  <c r="Q92" i="6"/>
  <c r="Q51" i="6"/>
  <c r="Q89" i="6"/>
  <c r="O72" i="6"/>
  <c r="P111" i="6"/>
  <c r="N113" i="6"/>
  <c r="O39" i="6"/>
  <c r="N50" i="6"/>
  <c r="O53" i="6"/>
  <c r="N110" i="6"/>
  <c r="O110" i="6"/>
  <c r="Q78" i="6"/>
  <c r="P116" i="6"/>
  <c r="N106" i="6"/>
  <c r="N107" i="6"/>
  <c r="O21" i="6"/>
  <c r="N74" i="6"/>
  <c r="Q87" i="6"/>
  <c r="N13" i="6"/>
  <c r="R101" i="6"/>
  <c r="N21" i="6"/>
  <c r="N62" i="6"/>
  <c r="O10" i="6"/>
  <c r="P13" i="6"/>
  <c r="P53" i="6"/>
  <c r="N58" i="6"/>
  <c r="Q20" i="6"/>
  <c r="P71" i="6"/>
  <c r="O115" i="6"/>
  <c r="R42" i="6"/>
  <c r="P44" i="6"/>
  <c r="R87" i="6"/>
  <c r="O92" i="6"/>
  <c r="P8" i="6"/>
  <c r="N86" i="6"/>
  <c r="F22" i="6"/>
  <c r="C22" i="6"/>
  <c r="R5" i="6"/>
  <c r="P90" i="6"/>
  <c r="Q75" i="6"/>
  <c r="R78" i="6"/>
  <c r="G23" i="6"/>
  <c r="N5" i="6"/>
  <c r="P31" i="6"/>
  <c r="N14" i="6"/>
  <c r="O101" i="6"/>
  <c r="N104" i="6"/>
  <c r="P15" i="6"/>
  <c r="N97" i="6"/>
  <c r="Q28" i="6"/>
  <c r="R61" i="6"/>
  <c r="N109" i="6"/>
  <c r="Q6" i="6"/>
  <c r="O37" i="6"/>
  <c r="P40" i="6"/>
  <c r="N80" i="6"/>
  <c r="N61" i="6"/>
  <c r="Q62" i="6"/>
  <c r="P45" i="6"/>
  <c r="N64" i="6"/>
  <c r="Q52" i="6"/>
  <c r="Q7" i="6"/>
  <c r="R59" i="6"/>
  <c r="G24" i="6"/>
  <c r="R33" i="6"/>
  <c r="P6" i="6"/>
  <c r="P30" i="6"/>
  <c r="Q73" i="6"/>
  <c r="R70" i="6"/>
  <c r="N83" i="6"/>
  <c r="Q22" i="6"/>
  <c r="R69" i="6"/>
  <c r="N77" i="6"/>
  <c r="P36" i="6"/>
  <c r="O73" i="6"/>
  <c r="Q88" i="6"/>
  <c r="N108" i="6"/>
  <c r="O45" i="6"/>
  <c r="N45" i="6"/>
  <c r="Q64" i="6"/>
  <c r="P84" i="6"/>
  <c r="R84" i="6"/>
  <c r="N10" i="6"/>
  <c r="N30" i="6"/>
  <c r="O47" i="6"/>
  <c r="R95" i="6"/>
  <c r="P35" i="6"/>
  <c r="P95" i="6"/>
  <c r="N81" i="6"/>
  <c r="O104" i="6"/>
  <c r="N96" i="6"/>
  <c r="P87" i="6"/>
  <c r="O114" i="6"/>
  <c r="R102" i="6"/>
  <c r="O87" i="6"/>
  <c r="O105" i="6"/>
  <c r="P4" i="6"/>
  <c r="F25" i="6"/>
  <c r="O107" i="6"/>
  <c r="O60" i="6"/>
  <c r="O113" i="6"/>
  <c r="Q30" i="6"/>
  <c r="N114" i="6"/>
  <c r="N75" i="6"/>
  <c r="O31" i="6"/>
  <c r="P102" i="6"/>
  <c r="O108" i="6"/>
  <c r="R43" i="6"/>
  <c r="Q98" i="6"/>
  <c r="Q60" i="6"/>
  <c r="R26" i="6"/>
  <c r="R74" i="6"/>
  <c r="O63" i="6"/>
  <c r="N78" i="6"/>
  <c r="N9" i="6"/>
  <c r="O35" i="6"/>
  <c r="P43" i="6"/>
  <c r="Q25" i="6"/>
  <c r="R56" i="6"/>
  <c r="O82" i="6"/>
  <c r="R116" i="6"/>
  <c r="Q72" i="6"/>
  <c r="O50" i="6"/>
  <c r="N49" i="6"/>
  <c r="R24" i="6"/>
  <c r="Q81" i="6"/>
  <c r="O96" i="6"/>
  <c r="N65" i="6"/>
  <c r="N38" i="6"/>
  <c r="R50" i="6"/>
  <c r="Q57" i="6"/>
  <c r="P63" i="6"/>
  <c r="R71" i="6"/>
  <c r="Q54" i="6"/>
  <c r="O56" i="6"/>
  <c r="Q32" i="6"/>
  <c r="O51" i="6"/>
  <c r="O79" i="6"/>
  <c r="P82" i="6"/>
  <c r="Q16" i="6"/>
  <c r="N8" i="6"/>
  <c r="Q59" i="6"/>
  <c r="N26" i="6"/>
  <c r="O40" i="6"/>
  <c r="R7" i="6"/>
  <c r="O15" i="6"/>
  <c r="P18" i="6"/>
  <c r="R53" i="6"/>
  <c r="N11" i="6"/>
  <c r="Q12" i="6"/>
  <c r="O93" i="6"/>
  <c r="R29" i="6"/>
  <c r="O106" i="6"/>
  <c r="R21" i="6"/>
  <c r="N40" i="6"/>
  <c r="O19" i="6"/>
  <c r="N35" i="6"/>
  <c r="Q74" i="6"/>
  <c r="N24" i="6"/>
  <c r="P52" i="6"/>
  <c r="R48" i="6"/>
  <c r="N44" i="6"/>
  <c r="R23" i="6"/>
  <c r="N20" i="6"/>
  <c r="P34" i="6"/>
  <c r="R106" i="6"/>
  <c r="N85" i="6"/>
  <c r="Q55" i="6"/>
  <c r="P41" i="6"/>
  <c r="P78" i="6"/>
  <c r="Q46" i="6"/>
  <c r="R108" i="6"/>
  <c r="O75" i="6"/>
  <c r="R72" i="6"/>
  <c r="R93" i="6"/>
  <c r="O5" i="6"/>
  <c r="O86" i="6"/>
  <c r="Q69" i="6"/>
  <c r="Q36" i="6"/>
  <c r="O71" i="6"/>
  <c r="D24" i="6"/>
  <c r="R54" i="6"/>
  <c r="R13" i="6"/>
  <c r="P7" i="6"/>
  <c r="P80" i="6"/>
  <c r="Q33" i="6"/>
  <c r="O64" i="6"/>
  <c r="R45" i="6"/>
  <c r="Q90" i="6"/>
  <c r="D25" i="6"/>
  <c r="Q8" i="6"/>
  <c r="Q93" i="6"/>
  <c r="N29" i="6"/>
  <c r="N66" i="6"/>
  <c r="Q80" i="6"/>
  <c r="N28" i="6"/>
  <c r="N71" i="6"/>
  <c r="Q56" i="6"/>
  <c r="R79" i="6"/>
  <c r="P113" i="6"/>
  <c r="Q116" i="6"/>
  <c r="P50" i="6"/>
  <c r="O20" i="6"/>
  <c r="Q115" i="6"/>
  <c r="O34" i="6"/>
  <c r="N68" i="6"/>
  <c r="Q91" i="6"/>
  <c r="Q96" i="6"/>
  <c r="P86" i="6"/>
  <c r="P39" i="6"/>
  <c r="O103" i="6"/>
  <c r="Q47" i="6"/>
  <c r="P114" i="6"/>
  <c r="N115" i="6"/>
  <c r="Q11" i="6"/>
  <c r="R14" i="6"/>
  <c r="P54" i="6"/>
  <c r="O48" i="6"/>
  <c r="R49" i="6"/>
  <c r="P38" i="6"/>
  <c r="R32" i="6"/>
  <c r="P22" i="6"/>
  <c r="R17" i="6"/>
  <c r="O65" i="6"/>
  <c r="Q5" i="6"/>
  <c r="O98" i="6"/>
  <c r="R11" i="6"/>
  <c r="O32" i="6"/>
  <c r="O52" i="6"/>
  <c r="Q43" i="6"/>
  <c r="P81" i="6"/>
  <c r="O24" i="6"/>
  <c r="N103" i="6"/>
  <c r="Q83" i="6"/>
  <c r="R91" i="6"/>
  <c r="P69" i="6"/>
  <c r="N98" i="6"/>
  <c r="P89" i="6"/>
  <c r="O94" i="6"/>
  <c r="R100" i="6"/>
  <c r="N23" i="6"/>
  <c r="N36" i="6"/>
  <c r="Q34" i="6"/>
  <c r="P19" i="6"/>
  <c r="P109" i="6"/>
  <c r="N111" i="6"/>
  <c r="O28" i="6"/>
  <c r="P99" i="6"/>
  <c r="N101" i="6"/>
  <c r="N42" i="6"/>
  <c r="C23" i="6"/>
  <c r="P56" i="6"/>
  <c r="Q97" i="6"/>
  <c r="N94" i="6"/>
  <c r="Q77" i="6"/>
  <c r="P67" i="6"/>
  <c r="N69" i="6"/>
  <c r="O58" i="6"/>
  <c r="R76" i="6"/>
  <c r="P104" i="6"/>
  <c r="P106" i="6"/>
  <c r="O42" i="6"/>
  <c r="O59" i="6"/>
  <c r="R107" i="6"/>
  <c r="N90" i="6"/>
  <c r="P91" i="6"/>
  <c r="P33" i="6"/>
  <c r="P58" i="6"/>
  <c r="O84" i="6"/>
  <c r="D22" i="6"/>
  <c r="R46" i="6"/>
  <c r="R40" i="6"/>
  <c r="P79" i="6"/>
  <c r="P25" i="6"/>
  <c r="P55" i="6"/>
  <c r="N73" i="6"/>
  <c r="O109" i="6"/>
  <c r="R60" i="6"/>
  <c r="R4" i="6"/>
  <c r="R36" i="6"/>
  <c r="P97" i="6"/>
  <c r="P94" i="6"/>
  <c r="P10" i="6"/>
  <c r="O77" i="6"/>
  <c r="Q44" i="6"/>
  <c r="F24" i="6"/>
  <c r="N112" i="6"/>
  <c r="P66" i="6"/>
  <c r="N105" i="6"/>
  <c r="O38" i="6"/>
  <c r="R12" i="6"/>
  <c r="Q85" i="6"/>
  <c r="Q10" i="6"/>
  <c r="N84" i="6"/>
  <c r="P9" i="6"/>
  <c r="N52" i="6"/>
  <c r="N100" i="6"/>
  <c r="O85" i="6"/>
  <c r="O22" i="6"/>
  <c r="N56" i="6"/>
  <c r="R47" i="6"/>
  <c r="Q49" i="6"/>
  <c r="P62" i="6"/>
  <c r="Q15" i="6"/>
  <c r="Q82" i="6"/>
  <c r="R73" i="6"/>
  <c r="Q76" i="6"/>
  <c r="Q66" i="6"/>
  <c r="O78" i="6"/>
  <c r="P26" i="6"/>
  <c r="R39" i="6"/>
  <c r="O8" i="6"/>
  <c r="R85" i="6"/>
  <c r="P85" i="6"/>
  <c r="Q14" i="6"/>
  <c r="N116" i="6"/>
  <c r="P100" i="6"/>
  <c r="O4" i="6"/>
  <c r="P88" i="6"/>
  <c r="E23" i="6"/>
  <c r="O88" i="6"/>
  <c r="R64" i="6"/>
  <c r="N25" i="6"/>
  <c r="O89" i="6"/>
  <c r="N39" i="6"/>
  <c r="O36" i="6"/>
  <c r="P105" i="6"/>
  <c r="N47" i="6"/>
  <c r="P68" i="6"/>
  <c r="R16" i="6"/>
  <c r="E22" i="6"/>
  <c r="O12" i="6"/>
  <c r="Q101" i="6"/>
  <c r="P47" i="6"/>
  <c r="R22" i="6"/>
  <c r="R58" i="6"/>
  <c r="N4" i="6"/>
  <c r="Q86" i="6"/>
  <c r="C25" i="6"/>
  <c r="P83" i="6"/>
  <c r="O27" i="6"/>
  <c r="R65" i="6"/>
  <c r="R35" i="6"/>
  <c r="O43" i="6"/>
  <c r="P42" i="6"/>
  <c r="R97" i="6"/>
  <c r="R19" i="6"/>
  <c r="N27" i="6"/>
  <c r="Q58" i="6"/>
  <c r="O16" i="6"/>
  <c r="N57" i="6"/>
  <c r="R115" i="6"/>
  <c r="N41" i="6"/>
  <c r="O54" i="6"/>
  <c r="R103" i="6"/>
  <c r="N89" i="6"/>
  <c r="R8" i="6"/>
  <c r="R113" i="6"/>
  <c r="R90" i="6"/>
  <c r="P77" i="6"/>
  <c r="O90" i="6"/>
  <c r="Q24" i="6"/>
  <c r="P103" i="6"/>
  <c r="O41" i="6"/>
  <c r="R75" i="6"/>
  <c r="R28" i="6"/>
  <c r="N37" i="6"/>
  <c r="Q102" i="6"/>
  <c r="Q114" i="6"/>
  <c r="Q111" i="6"/>
  <c r="R34" i="6"/>
  <c r="N102" i="6"/>
  <c r="R62" i="6"/>
  <c r="O97" i="6"/>
  <c r="R57" i="6"/>
  <c r="R80" i="6"/>
  <c r="N7" i="6"/>
  <c r="O49" i="6"/>
  <c r="Q9" i="6"/>
  <c r="R92" i="6"/>
  <c r="O46" i="6"/>
  <c r="R18" i="6"/>
  <c r="O55" i="6"/>
  <c r="O33" i="6"/>
  <c r="N99" i="6"/>
  <c r="Q53" i="6"/>
  <c r="P59" i="6"/>
  <c r="P46" i="6"/>
  <c r="Q23" i="6"/>
  <c r="O66" i="6"/>
  <c r="Q110" i="6"/>
  <c r="P107" i="6"/>
  <c r="O91" i="6"/>
  <c r="Q70" i="6"/>
  <c r="N16" i="6"/>
  <c r="N60" i="6"/>
  <c r="P14" i="6"/>
  <c r="O14" i="6"/>
  <c r="C24" i="6"/>
  <c r="P75" i="6"/>
  <c r="P74" i="6"/>
  <c r="R89" i="6"/>
  <c r="N43" i="6"/>
  <c r="D23" i="6"/>
  <c r="R10" i="6"/>
  <c r="R6" i="6"/>
  <c r="N72" i="6"/>
  <c r="M47" i="6" l="1"/>
  <c r="B14" i="2"/>
  <c r="B15" i="2" s="1"/>
  <c r="M48" i="6" l="1"/>
  <c r="M49" i="6" l="1"/>
  <c r="B16" i="2"/>
  <c r="M50" i="6" l="1"/>
  <c r="B17" i="2"/>
  <c r="B18" i="2"/>
  <c r="M51" i="6" l="1"/>
  <c r="M52" i="6" l="1"/>
  <c r="M53" i="6" l="1"/>
  <c r="M54" i="6" l="1"/>
  <c r="M55" i="6" l="1"/>
  <c r="M56" i="6" l="1"/>
  <c r="M57" i="6" l="1"/>
  <c r="M58" i="6" l="1"/>
  <c r="M59" i="6" l="1"/>
  <c r="M60" i="6" l="1"/>
  <c r="M61" i="6" l="1"/>
  <c r="M62" i="6" l="1"/>
  <c r="M63" i="6" l="1"/>
  <c r="M64" i="6" l="1"/>
  <c r="M65" i="6" l="1"/>
  <c r="M66" i="6" l="1"/>
  <c r="M67" i="6" l="1"/>
  <c r="M68" i="6" l="1"/>
  <c r="M69" i="6" l="1"/>
  <c r="M70" i="6" l="1"/>
  <c r="M71" i="6" l="1"/>
  <c r="M72" i="6" l="1"/>
  <c r="M73" i="6" l="1"/>
  <c r="M74" i="6" l="1"/>
  <c r="M75" i="6" l="1"/>
  <c r="M76" i="6" l="1"/>
  <c r="M77" i="6" l="1"/>
  <c r="M78" i="6" l="1"/>
  <c r="M79" i="6" l="1"/>
  <c r="M80" i="6" l="1"/>
  <c r="M81" i="6" l="1"/>
  <c r="M82" i="6" l="1"/>
  <c r="M83" i="6" l="1"/>
  <c r="M84" i="6" l="1"/>
  <c r="M85" i="6" l="1"/>
  <c r="M86" i="6" l="1"/>
  <c r="M87" i="6" l="1"/>
  <c r="M88" i="6" l="1"/>
  <c r="M89" i="6" l="1"/>
  <c r="M90" i="6" l="1"/>
  <c r="M91" i="6" l="1"/>
  <c r="M92" i="6" l="1"/>
  <c r="M93" i="6" l="1"/>
  <c r="M94" i="6" l="1"/>
  <c r="M95" i="6" l="1"/>
  <c r="M96" i="6" l="1"/>
  <c r="M97" i="6" l="1"/>
  <c r="M98" i="6" l="1"/>
  <c r="M99" i="6" l="1"/>
  <c r="M100" i="6" l="1"/>
  <c r="M101" i="6" l="1"/>
  <c r="M102" i="6" l="1"/>
  <c r="M116" i="6" l="1"/>
  <c r="M115" i="6"/>
  <c r="M114" i="6"/>
  <c r="M113" i="6"/>
  <c r="M112" i="6"/>
  <c r="M111" i="6"/>
  <c r="M110" i="6"/>
  <c r="M109" i="6"/>
  <c r="M108" i="6"/>
  <c r="M107" i="6"/>
  <c r="M106" i="6"/>
  <c r="M105" i="6"/>
  <c r="M104" i="6"/>
  <c r="M103" i="6"/>
  <c r="J9" i="2" l="1"/>
  <c r="J5" i="2"/>
  <c r="J18" i="2"/>
  <c r="J8" i="2"/>
  <c r="J7" i="2"/>
  <c r="J11" i="2"/>
  <c r="J17" i="2"/>
  <c r="J12" i="2"/>
  <c r="J13" i="2"/>
  <c r="J16" i="2"/>
  <c r="J14" i="2"/>
  <c r="J10" i="2"/>
  <c r="J6" i="2"/>
  <c r="J4" i="2"/>
  <c r="J15" i="2"/>
  <c r="J30" i="2"/>
  <c r="J26" i="2"/>
  <c r="J22" i="2"/>
  <c r="J28" i="2"/>
  <c r="J20" i="2"/>
  <c r="J29" i="2"/>
  <c r="J25" i="2"/>
  <c r="J21" i="2"/>
  <c r="J24" i="2"/>
  <c r="J31" i="2"/>
  <c r="J27" i="2"/>
  <c r="J23" i="2"/>
  <c r="J19" i="2"/>
  <c r="J32" i="2"/>
  <c r="J46" i="2" s="1"/>
  <c r="K8" i="2"/>
  <c r="O6" i="2"/>
  <c r="K15" i="2"/>
  <c r="O5" i="2"/>
  <c r="K16" i="2"/>
  <c r="N5" i="2"/>
  <c r="K12" i="2"/>
  <c r="N7" i="2"/>
  <c r="O9" i="2"/>
  <c r="O14" i="2"/>
  <c r="K11" i="2"/>
  <c r="K5" i="2"/>
  <c r="N29" i="2"/>
  <c r="N31" i="2"/>
  <c r="K28" i="2"/>
  <c r="N30" i="2"/>
  <c r="K24" i="2"/>
  <c r="O22" i="2"/>
  <c r="K27" i="2"/>
  <c r="K21" i="2"/>
  <c r="K20" i="2"/>
  <c r="F23" i="2"/>
  <c r="C22" i="2"/>
  <c r="O17" i="2"/>
  <c r="K9" i="2"/>
  <c r="O11" i="2"/>
  <c r="N16" i="2"/>
  <c r="N9" i="2"/>
  <c r="N8" i="2"/>
  <c r="K29" i="2"/>
  <c r="N23" i="2"/>
  <c r="N24" i="2"/>
  <c r="O27" i="2"/>
  <c r="K19" i="2"/>
  <c r="K46" i="2"/>
  <c r="O13" i="2"/>
  <c r="N17" i="2"/>
  <c r="N10" i="2"/>
  <c r="O15" i="2"/>
  <c r="O8" i="2"/>
  <c r="O26" i="2"/>
  <c r="O28" i="2"/>
  <c r="O30" i="2"/>
  <c r="N25" i="2"/>
  <c r="O20" i="2"/>
  <c r="K32" i="2"/>
  <c r="O46" i="2"/>
  <c r="C23" i="2"/>
  <c r="O10" i="2"/>
  <c r="O18" i="2"/>
  <c r="C24" i="2"/>
  <c r="O7" i="2"/>
  <c r="K14" i="2"/>
  <c r="N4" i="2"/>
  <c r="N15" i="2"/>
  <c r="N18" i="2"/>
  <c r="N14" i="2"/>
  <c r="O4" i="2"/>
  <c r="N6" i="2"/>
  <c r="K13" i="2"/>
  <c r="K26" i="2"/>
  <c r="K31" i="2"/>
  <c r="N28" i="2"/>
  <c r="O23" i="2"/>
  <c r="O24" i="2"/>
  <c r="K22" i="2"/>
  <c r="O25" i="2"/>
  <c r="N21" i="2"/>
  <c r="N20" i="2"/>
  <c r="N19" i="2"/>
  <c r="N32" i="2"/>
  <c r="N46" i="2"/>
  <c r="O32" i="2"/>
  <c r="L11" i="2"/>
  <c r="K10" i="2"/>
  <c r="N12" i="2"/>
  <c r="O12" i="2"/>
  <c r="K4" i="2"/>
  <c r="O16" i="2"/>
  <c r="N26" i="2"/>
  <c r="O31" i="2"/>
  <c r="K30" i="2"/>
  <c r="K25" i="2"/>
  <c r="O21" i="2"/>
  <c r="N13" i="2"/>
  <c r="N11" i="2"/>
  <c r="K17" i="2"/>
  <c r="K6" i="2"/>
  <c r="K7" i="2"/>
  <c r="C25" i="2"/>
  <c r="K18" i="2"/>
  <c r="O29" i="2"/>
  <c r="K23" i="2"/>
  <c r="N22" i="2"/>
  <c r="N27" i="2"/>
  <c r="O19" i="2"/>
  <c r="J47" i="2" l="1"/>
  <c r="J35" i="2"/>
  <c r="J38" i="2"/>
  <c r="J40" i="2"/>
  <c r="J43" i="2"/>
  <c r="J41" i="2"/>
  <c r="J39" i="2"/>
  <c r="J42" i="2"/>
  <c r="J45" i="2"/>
  <c r="J34" i="2"/>
  <c r="J36" i="2"/>
  <c r="J37" i="2"/>
  <c r="J33" i="2"/>
  <c r="J44" i="2"/>
  <c r="M11" i="2"/>
  <c r="O47" i="2"/>
  <c r="N43" i="2"/>
  <c r="O33" i="2"/>
  <c r="K35" i="2"/>
  <c r="K41" i="2"/>
  <c r="N44" i="2"/>
  <c r="K38" i="2"/>
  <c r="K36" i="2"/>
  <c r="O42" i="2"/>
  <c r="O37" i="2"/>
  <c r="O39" i="2"/>
  <c r="N47" i="2"/>
  <c r="K45" i="2"/>
  <c r="N33" i="2"/>
  <c r="O35" i="2"/>
  <c r="K34" i="2"/>
  <c r="O44" i="2"/>
  <c r="O38" i="2"/>
  <c r="N40" i="2"/>
  <c r="N42" i="2"/>
  <c r="N37" i="2"/>
  <c r="L42" i="2"/>
  <c r="D23" i="2"/>
  <c r="O43" i="2"/>
  <c r="N45" i="2"/>
  <c r="K33" i="2"/>
  <c r="O41" i="2"/>
  <c r="N34" i="2"/>
  <c r="K44" i="2"/>
  <c r="O36" i="2"/>
  <c r="O40" i="2"/>
  <c r="K42" i="2"/>
  <c r="K39" i="2"/>
  <c r="N36" i="2"/>
  <c r="K40" i="2"/>
  <c r="N39" i="2"/>
  <c r="L22" i="2"/>
  <c r="K47" i="2"/>
  <c r="K43" i="2"/>
  <c r="O45" i="2"/>
  <c r="N35" i="2"/>
  <c r="N41" i="2"/>
  <c r="O34" i="2"/>
  <c r="N38" i="2"/>
  <c r="K37" i="2"/>
  <c r="M22" i="2" l="1"/>
  <c r="M42" i="2"/>
  <c r="E23" i="2"/>
  <c r="L15" i="2"/>
  <c r="L12" i="2"/>
  <c r="L6" i="2"/>
  <c r="L23" i="2"/>
  <c r="L45" i="2"/>
  <c r="L35" i="2"/>
  <c r="L17" i="2"/>
  <c r="L32" i="2"/>
  <c r="L41" i="2"/>
  <c r="L38" i="2"/>
  <c r="L31" i="2"/>
  <c r="L21" i="2"/>
  <c r="L14" i="2"/>
  <c r="L19" i="2"/>
  <c r="L34" i="2"/>
  <c r="L4" i="2"/>
  <c r="D22" i="2"/>
  <c r="L36" i="2"/>
  <c r="L43" i="2"/>
  <c r="L24" i="2"/>
  <c r="L7" i="2"/>
  <c r="M7" i="2" l="1"/>
  <c r="M24" i="2"/>
  <c r="M43" i="2"/>
  <c r="P42" i="2" s="1"/>
  <c r="M36" i="2"/>
  <c r="E22" i="2"/>
  <c r="M4" i="2"/>
  <c r="M19" i="2"/>
  <c r="M14" i="2"/>
  <c r="M21" i="2"/>
  <c r="P21" i="2" s="1"/>
  <c r="M31" i="2"/>
  <c r="M38" i="2"/>
  <c r="M41" i="2"/>
  <c r="P41" i="2" s="1"/>
  <c r="M32" i="2"/>
  <c r="M17" i="2"/>
  <c r="M35" i="2"/>
  <c r="M45" i="2"/>
  <c r="M23" i="2"/>
  <c r="P22" i="2" s="1"/>
  <c r="M6" i="2"/>
  <c r="M12" i="2"/>
  <c r="P11" i="2" s="1"/>
  <c r="M15" i="2"/>
  <c r="M34" i="2"/>
  <c r="L16" i="2"/>
  <c r="L25" i="2"/>
  <c r="L30" i="2"/>
  <c r="L27" i="2"/>
  <c r="L47" i="2"/>
  <c r="L37" i="2"/>
  <c r="P35" i="2" l="1"/>
  <c r="P23" i="2"/>
  <c r="M37" i="2"/>
  <c r="M47" i="2"/>
  <c r="M27" i="2"/>
  <c r="M30" i="2"/>
  <c r="P30" i="2" s="1"/>
  <c r="M25" i="2"/>
  <c r="P24" i="2" s="1"/>
  <c r="M16" i="2"/>
  <c r="P16" i="2" s="1"/>
  <c r="P14" i="2"/>
  <c r="P34" i="2"/>
  <c r="P31" i="2"/>
  <c r="P6" i="2"/>
  <c r="L18" i="2"/>
  <c r="P15" i="2" l="1"/>
  <c r="M18" i="2"/>
  <c r="P18" i="2" s="1"/>
  <c r="P37" i="2"/>
  <c r="P36" i="2"/>
  <c r="L29" i="2"/>
  <c r="L44" i="2"/>
  <c r="L46" i="2"/>
  <c r="L8" i="2"/>
  <c r="P17" i="2" l="1"/>
  <c r="M8" i="2"/>
  <c r="P7" i="2" s="1"/>
  <c r="M44" i="2"/>
  <c r="P44" i="2" s="1"/>
  <c r="M29" i="2"/>
  <c r="P29" i="2" s="1"/>
  <c r="M46" i="2"/>
  <c r="P46" i="2" s="1"/>
  <c r="P43" i="2" l="1"/>
  <c r="P45" i="2"/>
  <c r="L33" i="2"/>
  <c r="L20" i="2"/>
  <c r="M33" i="2" l="1"/>
  <c r="P33" i="2" s="1"/>
  <c r="M20" i="2"/>
  <c r="P20" i="2" s="1"/>
  <c r="L13" i="2"/>
  <c r="P32" i="2" l="1"/>
  <c r="P19" i="2"/>
  <c r="M13" i="2"/>
  <c r="P13" i="2" s="1"/>
  <c r="L28" i="2"/>
  <c r="P12" i="2" l="1"/>
  <c r="M28" i="2"/>
  <c r="P28" i="2" s="1"/>
  <c r="L26" i="2"/>
  <c r="P27" i="2" l="1"/>
  <c r="M26" i="2"/>
  <c r="P26" i="2" s="1"/>
  <c r="L10" i="2"/>
  <c r="P25" i="2" l="1"/>
  <c r="M10" i="2"/>
  <c r="L40" i="2"/>
  <c r="L9" i="2"/>
  <c r="M9" i="2" l="1"/>
  <c r="P9" i="2" s="1"/>
  <c r="M40" i="2"/>
  <c r="P40" i="2" s="1"/>
  <c r="L39" i="2"/>
  <c r="P8" i="2" l="1"/>
  <c r="M39" i="2"/>
  <c r="P39" i="2" s="1"/>
  <c r="F22" i="2"/>
  <c r="L5" i="2"/>
  <c r="P38" i="2" l="1"/>
  <c r="M5" i="2"/>
  <c r="P5" i="2" s="1"/>
  <c r="P4" i="2" l="1"/>
  <c r="P10" i="2"/>
  <c r="J48" i="2"/>
  <c r="O48" i="2"/>
  <c r="K48" i="2"/>
  <c r="L48" i="2"/>
  <c r="N48" i="2"/>
  <c r="M48" i="2" l="1"/>
  <c r="P47" i="2" s="1"/>
  <c r="J49" i="2"/>
  <c r="K49" i="2"/>
  <c r="N49" i="2"/>
  <c r="O49" i="2"/>
  <c r="L49" i="2"/>
  <c r="M49" i="2" l="1"/>
  <c r="P48" i="2" s="1"/>
  <c r="J50" i="2"/>
  <c r="K50" i="2"/>
  <c r="N50" i="2"/>
  <c r="O50" i="2"/>
  <c r="L50" i="2"/>
  <c r="M50" i="2" l="1"/>
  <c r="P49" i="2" s="1"/>
  <c r="J51" i="2"/>
  <c r="N51" i="2"/>
  <c r="K51" i="2"/>
  <c r="O51" i="2"/>
  <c r="L51" i="2"/>
  <c r="M51" i="2" l="1"/>
  <c r="P50" i="2" s="1"/>
  <c r="J52" i="2"/>
  <c r="K52" i="2"/>
  <c r="N52" i="2"/>
  <c r="O52" i="2"/>
  <c r="L52" i="2"/>
  <c r="M52" i="2" l="1"/>
  <c r="P51" i="2" s="1"/>
  <c r="J53" i="2"/>
  <c r="N53" i="2"/>
  <c r="O53" i="2"/>
  <c r="K53" i="2"/>
  <c r="L53" i="2"/>
  <c r="M53" i="2" l="1"/>
  <c r="P52" i="2" s="1"/>
  <c r="J54" i="2"/>
  <c r="N54" i="2"/>
  <c r="O54" i="2"/>
  <c r="L54" i="2"/>
  <c r="K54" i="2"/>
  <c r="M54" i="2" l="1"/>
  <c r="P53" i="2" s="1"/>
  <c r="J55" i="2"/>
  <c r="K55" i="2"/>
  <c r="N55" i="2"/>
  <c r="O55" i="2"/>
  <c r="L55" i="2"/>
  <c r="M55" i="2" l="1"/>
  <c r="P54" i="2" s="1"/>
  <c r="J56" i="2"/>
  <c r="N56" i="2"/>
  <c r="K56" i="2"/>
  <c r="O56" i="2"/>
  <c r="L56" i="2"/>
  <c r="M56" i="2" l="1"/>
  <c r="P55" i="2" s="1"/>
  <c r="J57" i="2"/>
  <c r="K57" i="2"/>
  <c r="N57" i="2"/>
  <c r="L57" i="2"/>
  <c r="O57" i="2"/>
  <c r="M57" i="2" l="1"/>
  <c r="P56" i="2" s="1"/>
  <c r="J58" i="2"/>
  <c r="K58" i="2"/>
  <c r="O58" i="2"/>
  <c r="L58" i="2"/>
  <c r="N58" i="2"/>
  <c r="M58" i="2" l="1"/>
  <c r="P57" i="2" s="1"/>
  <c r="J59" i="2"/>
  <c r="O59" i="2"/>
  <c r="L59" i="2"/>
  <c r="N59" i="2"/>
  <c r="K59" i="2"/>
  <c r="M59" i="2" l="1"/>
  <c r="P58" i="2" s="1"/>
  <c r="J60" i="2"/>
  <c r="O60" i="2"/>
  <c r="L60" i="2"/>
  <c r="K60" i="2"/>
  <c r="N60" i="2"/>
  <c r="M60" i="2" l="1"/>
  <c r="P59" i="2" s="1"/>
  <c r="J61" i="2"/>
  <c r="K61" i="2"/>
  <c r="L61" i="2"/>
  <c r="N61" i="2"/>
  <c r="O61" i="2"/>
  <c r="M61" i="2" l="1"/>
  <c r="P60" i="2" s="1"/>
  <c r="J62" i="2"/>
  <c r="K62" i="2"/>
  <c r="O62" i="2"/>
  <c r="L62" i="2"/>
  <c r="N62" i="2"/>
  <c r="M62" i="2" l="1"/>
  <c r="P61" i="2" s="1"/>
  <c r="J63" i="2"/>
  <c r="O63" i="2"/>
  <c r="N63" i="2"/>
  <c r="L63" i="2"/>
  <c r="K63" i="2"/>
  <c r="M63" i="2" l="1"/>
  <c r="P62" i="2" s="1"/>
  <c r="J64" i="2"/>
  <c r="K64" i="2"/>
  <c r="N64" i="2"/>
  <c r="O64" i="2"/>
  <c r="L64" i="2"/>
  <c r="M64" i="2" l="1"/>
  <c r="P63" i="2" s="1"/>
  <c r="J65" i="2"/>
  <c r="K65" i="2"/>
  <c r="N65" i="2"/>
  <c r="L65" i="2"/>
  <c r="O65" i="2"/>
  <c r="M65" i="2" l="1"/>
  <c r="P64" i="2" s="1"/>
  <c r="J66" i="2"/>
  <c r="O66" i="2"/>
  <c r="K66" i="2"/>
  <c r="L66" i="2"/>
  <c r="N66" i="2"/>
  <c r="M66" i="2" l="1"/>
  <c r="P65" i="2" s="1"/>
  <c r="J67" i="2"/>
  <c r="N67" i="2"/>
  <c r="L67" i="2"/>
  <c r="O67" i="2"/>
  <c r="K67" i="2"/>
  <c r="M67" i="2" l="1"/>
  <c r="P66" i="2" s="1"/>
  <c r="J68" i="2"/>
  <c r="N68" i="2"/>
  <c r="O68" i="2"/>
  <c r="L68" i="2"/>
  <c r="K68" i="2"/>
  <c r="M68" i="2" l="1"/>
  <c r="P67" i="2" s="1"/>
  <c r="J69" i="2"/>
  <c r="N69" i="2"/>
  <c r="L69" i="2"/>
  <c r="O69" i="2"/>
  <c r="K69" i="2"/>
  <c r="M69" i="2" l="1"/>
  <c r="P68" i="2" s="1"/>
  <c r="J70" i="2"/>
  <c r="K70" i="2"/>
  <c r="N70" i="2"/>
  <c r="O70" i="2"/>
  <c r="L70" i="2"/>
  <c r="M70" i="2" l="1"/>
  <c r="P69" i="2" s="1"/>
  <c r="J71" i="2"/>
  <c r="O71" i="2"/>
  <c r="K71" i="2"/>
  <c r="L71" i="2"/>
  <c r="N71" i="2"/>
  <c r="M71" i="2" l="1"/>
  <c r="P70" i="2" s="1"/>
  <c r="J72" i="2"/>
  <c r="K72" i="2"/>
  <c r="O72" i="2"/>
  <c r="L72" i="2"/>
  <c r="N72" i="2"/>
  <c r="M72" i="2" l="1"/>
  <c r="P71" i="2" s="1"/>
  <c r="J73" i="2"/>
  <c r="K73" i="2"/>
  <c r="L73" i="2"/>
  <c r="N73" i="2"/>
  <c r="O73" i="2"/>
  <c r="M73" i="2" l="1"/>
  <c r="P72" i="2" s="1"/>
  <c r="J74" i="2"/>
  <c r="N74" i="2"/>
  <c r="O74" i="2"/>
  <c r="K74" i="2"/>
  <c r="L74" i="2"/>
  <c r="M74" i="2" l="1"/>
  <c r="P73" i="2" s="1"/>
  <c r="J75" i="2"/>
  <c r="N75" i="2"/>
  <c r="O75" i="2"/>
  <c r="L75" i="2"/>
  <c r="K75" i="2"/>
  <c r="M75" i="2" l="1"/>
  <c r="P74" i="2" s="1"/>
  <c r="J76" i="2"/>
  <c r="N76" i="2"/>
  <c r="K76" i="2"/>
  <c r="L76" i="2"/>
  <c r="O76" i="2"/>
  <c r="M76" i="2" l="1"/>
  <c r="P75" i="2" s="1"/>
  <c r="J77" i="2"/>
  <c r="K77" i="2"/>
  <c r="L77" i="2"/>
  <c r="O77" i="2"/>
  <c r="N77" i="2"/>
  <c r="M77" i="2" l="1"/>
  <c r="P76" i="2" s="1"/>
  <c r="J78" i="2"/>
  <c r="K78" i="2"/>
  <c r="L78" i="2"/>
  <c r="N78" i="2"/>
  <c r="O78" i="2"/>
  <c r="M78" i="2" l="1"/>
  <c r="P77" i="2" s="1"/>
  <c r="J79" i="2"/>
  <c r="K79" i="2"/>
  <c r="L79" i="2"/>
  <c r="O79" i="2"/>
  <c r="N79" i="2"/>
  <c r="M79" i="2" l="1"/>
  <c r="P78" i="2" s="1"/>
  <c r="J80" i="2"/>
  <c r="N80" i="2"/>
  <c r="L80" i="2"/>
  <c r="K80" i="2"/>
  <c r="O80" i="2"/>
  <c r="M80" i="2" l="1"/>
  <c r="P79" i="2" s="1"/>
  <c r="J81" i="2"/>
  <c r="K81" i="2"/>
  <c r="O81" i="2"/>
  <c r="N81" i="2"/>
  <c r="L81" i="2"/>
  <c r="M81" i="2" l="1"/>
  <c r="P80" i="2" s="1"/>
  <c r="J82" i="2"/>
  <c r="N82" i="2"/>
  <c r="K82" i="2"/>
  <c r="L82" i="2"/>
  <c r="O82" i="2"/>
  <c r="M82" i="2" l="1"/>
  <c r="P81" i="2" s="1"/>
  <c r="J83" i="2"/>
  <c r="O83" i="2"/>
  <c r="L83" i="2"/>
  <c r="N83" i="2"/>
  <c r="K83" i="2"/>
  <c r="M83" i="2" l="1"/>
  <c r="P82" i="2" s="1"/>
  <c r="J84" i="2"/>
  <c r="K84" i="2"/>
  <c r="L84" i="2"/>
  <c r="O84" i="2"/>
  <c r="N84" i="2"/>
  <c r="M84" i="2" l="1"/>
  <c r="P83" i="2" s="1"/>
  <c r="J85" i="2"/>
  <c r="O85" i="2"/>
  <c r="L85" i="2"/>
  <c r="N85" i="2"/>
  <c r="K85" i="2"/>
  <c r="M85" i="2" l="1"/>
  <c r="P84" i="2" s="1"/>
  <c r="J86" i="2"/>
  <c r="K86" i="2"/>
  <c r="L86" i="2"/>
  <c r="N86" i="2"/>
  <c r="O86" i="2"/>
  <c r="M86" i="2" l="1"/>
  <c r="P85" i="2" s="1"/>
  <c r="J87" i="2"/>
  <c r="N87" i="2"/>
  <c r="L87" i="2"/>
  <c r="K87" i="2"/>
  <c r="O87" i="2"/>
  <c r="M87" i="2" l="1"/>
  <c r="P86" i="2" s="1"/>
  <c r="J88" i="2"/>
  <c r="O88" i="2"/>
  <c r="L88" i="2"/>
  <c r="K88" i="2"/>
  <c r="N88" i="2"/>
  <c r="M88" i="2" l="1"/>
  <c r="P87" i="2" s="1"/>
  <c r="J89" i="2"/>
  <c r="K89" i="2"/>
  <c r="L89" i="2"/>
  <c r="O89" i="2"/>
  <c r="N89" i="2"/>
  <c r="M89" i="2" l="1"/>
  <c r="P88" i="2" s="1"/>
  <c r="J90" i="2"/>
  <c r="O90" i="2"/>
  <c r="K90" i="2"/>
  <c r="L90" i="2"/>
  <c r="N90" i="2"/>
  <c r="M90" i="2" l="1"/>
  <c r="P89" i="2" s="1"/>
  <c r="J91" i="2"/>
  <c r="K91" i="2"/>
  <c r="L91" i="2"/>
  <c r="N91" i="2"/>
  <c r="O91" i="2"/>
  <c r="M91" i="2" l="1"/>
  <c r="P90" i="2" s="1"/>
  <c r="J92" i="2"/>
  <c r="K92" i="2"/>
  <c r="N92" i="2"/>
  <c r="L92" i="2"/>
  <c r="O92" i="2"/>
  <c r="M92" i="2" l="1"/>
  <c r="P91" i="2" s="1"/>
  <c r="J93" i="2"/>
  <c r="N93" i="2"/>
  <c r="L93" i="2"/>
  <c r="K93" i="2"/>
  <c r="O93" i="2"/>
  <c r="M93" i="2" l="1"/>
  <c r="P92" i="2" s="1"/>
  <c r="J94" i="2"/>
  <c r="O94" i="2"/>
  <c r="L94" i="2"/>
  <c r="N94" i="2"/>
  <c r="K94" i="2"/>
  <c r="M94" i="2" l="1"/>
  <c r="P93" i="2" s="1"/>
  <c r="J95" i="2"/>
  <c r="O95" i="2"/>
  <c r="K95" i="2"/>
  <c r="L95" i="2"/>
  <c r="N95" i="2"/>
  <c r="M95" i="2" l="1"/>
  <c r="P94" i="2" s="1"/>
  <c r="J96" i="2"/>
  <c r="N96" i="2"/>
  <c r="K96" i="2"/>
  <c r="L96" i="2"/>
  <c r="O96" i="2"/>
  <c r="M96" i="2" l="1"/>
  <c r="P95" i="2" s="1"/>
  <c r="J97" i="2"/>
  <c r="K97" i="2"/>
  <c r="O97" i="2"/>
  <c r="N97" i="2"/>
  <c r="L97" i="2"/>
  <c r="M97" i="2" l="1"/>
  <c r="P96" i="2" s="1"/>
  <c r="J98" i="2"/>
  <c r="O98" i="2"/>
  <c r="L98" i="2"/>
  <c r="K98" i="2"/>
  <c r="N98" i="2"/>
  <c r="M98" i="2" l="1"/>
  <c r="P97" i="2" s="1"/>
  <c r="J99" i="2"/>
  <c r="N99" i="2"/>
  <c r="L99" i="2"/>
  <c r="O99" i="2"/>
  <c r="K99" i="2"/>
  <c r="M99" i="2" l="1"/>
  <c r="P98" i="2" s="1"/>
  <c r="J100" i="2"/>
  <c r="O100" i="2"/>
  <c r="L100" i="2"/>
  <c r="K100" i="2"/>
  <c r="N100" i="2"/>
  <c r="M100" i="2" l="1"/>
  <c r="P99" i="2" s="1"/>
  <c r="J101" i="2"/>
  <c r="K101" i="2"/>
  <c r="O101" i="2"/>
  <c r="L101" i="2"/>
  <c r="N101" i="2"/>
  <c r="M101" i="2" l="1"/>
  <c r="P100" i="2" s="1"/>
  <c r="J102" i="2"/>
  <c r="K102" i="2"/>
  <c r="O102" i="2"/>
  <c r="L102" i="2"/>
  <c r="N102" i="2"/>
  <c r="M102" i="2" l="1"/>
  <c r="P101" i="2" s="1"/>
  <c r="J115" i="2"/>
  <c r="J103" i="2"/>
  <c r="J106" i="2"/>
  <c r="J114" i="2"/>
  <c r="J112" i="2"/>
  <c r="J109" i="2"/>
  <c r="J108" i="2"/>
  <c r="J116" i="2"/>
  <c r="J110" i="2"/>
  <c r="J107" i="2"/>
  <c r="J104" i="2"/>
  <c r="J111" i="2"/>
  <c r="J113" i="2"/>
  <c r="J105" i="2"/>
  <c r="L112" i="2"/>
  <c r="L109" i="2"/>
  <c r="L108" i="2"/>
  <c r="L111" i="2"/>
  <c r="O103" i="2"/>
  <c r="K106" i="2"/>
  <c r="N114" i="2"/>
  <c r="O109" i="2"/>
  <c r="K108" i="2"/>
  <c r="K116" i="2"/>
  <c r="K107" i="2"/>
  <c r="K104" i="2"/>
  <c r="O111" i="2"/>
  <c r="O105" i="2"/>
  <c r="L110" i="2"/>
  <c r="L107" i="2"/>
  <c r="L104" i="2"/>
  <c r="O115" i="2"/>
  <c r="N103" i="2"/>
  <c r="O106" i="2"/>
  <c r="N112" i="2"/>
  <c r="N109" i="2"/>
  <c r="K110" i="2"/>
  <c r="N104" i="2"/>
  <c r="N105" i="2"/>
  <c r="L105" i="2"/>
  <c r="K103" i="2"/>
  <c r="O112" i="2"/>
  <c r="K109" i="2"/>
  <c r="N110" i="2"/>
  <c r="N111" i="2"/>
  <c r="K105" i="2"/>
  <c r="L115" i="2"/>
  <c r="L103" i="2"/>
  <c r="L106" i="2"/>
  <c r="L116" i="2"/>
  <c r="K115" i="2"/>
  <c r="N106" i="2"/>
  <c r="K114" i="2"/>
  <c r="K112" i="2"/>
  <c r="O108" i="2"/>
  <c r="O116" i="2"/>
  <c r="O110" i="2"/>
  <c r="O104" i="2"/>
  <c r="K111" i="2"/>
  <c r="N113" i="2"/>
  <c r="N108" i="2"/>
  <c r="N107" i="2"/>
  <c r="K113" i="2"/>
  <c r="L113" i="2"/>
  <c r="L114" i="2"/>
  <c r="N115" i="2"/>
  <c r="O114" i="2"/>
  <c r="N116" i="2"/>
  <c r="O107" i="2"/>
  <c r="O113" i="2"/>
  <c r="M111" i="2" l="1"/>
  <c r="M116" i="2"/>
  <c r="M114" i="2"/>
  <c r="M104" i="2"/>
  <c r="M108" i="2"/>
  <c r="M106" i="2"/>
  <c r="M105" i="2"/>
  <c r="M107" i="2"/>
  <c r="M109" i="2"/>
  <c r="M103" i="2"/>
  <c r="P102" i="2" s="1"/>
  <c r="M113" i="2"/>
  <c r="M110" i="2"/>
  <c r="M112" i="2"/>
  <c r="M115" i="2"/>
  <c r="P106" i="2" l="1"/>
  <c r="P108" i="2"/>
  <c r="P103" i="2"/>
  <c r="P107" i="2"/>
  <c r="P110" i="2"/>
  <c r="P111" i="2"/>
  <c r="P109" i="2"/>
  <c r="P112" i="2"/>
  <c r="P104" i="2"/>
  <c r="P113" i="2"/>
  <c r="P114" i="2"/>
  <c r="P105" i="2"/>
  <c r="P115" i="2"/>
  <c r="G54" i="2" l="1"/>
</calcChain>
</file>

<file path=xl/comments1.xml><?xml version="1.0" encoding="utf-8"?>
<comments xmlns="http://schemas.openxmlformats.org/spreadsheetml/2006/main">
  <authors>
    <author>Minder, Pascal</author>
  </authors>
  <commentList>
    <comment ref="F4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Aufsteigend sortieren
</t>
        </r>
      </text>
    </comment>
  </commentList>
</comments>
</file>

<file path=xl/sharedStrings.xml><?xml version="1.0" encoding="utf-8"?>
<sst xmlns="http://schemas.openxmlformats.org/spreadsheetml/2006/main" count="143" uniqueCount="67">
  <si>
    <t>Balken</t>
  </si>
  <si>
    <t>Kräfte</t>
  </si>
  <si>
    <t>Länge des Balkens</t>
  </si>
  <si>
    <t>m</t>
  </si>
  <si>
    <t>Nummer</t>
  </si>
  <si>
    <t>Ort</t>
  </si>
  <si>
    <t>Betrag</t>
  </si>
  <si>
    <t>Breite des Balkens</t>
  </si>
  <si>
    <t>kN</t>
  </si>
  <si>
    <t>Höhe des Balkens</t>
  </si>
  <si>
    <t>E-Modul des Balkens</t>
  </si>
  <si>
    <t>MPa</t>
  </si>
  <si>
    <t>Steifigkeit des Bodens</t>
  </si>
  <si>
    <t>ME</t>
  </si>
  <si>
    <t>Hilfsgrössen</t>
  </si>
  <si>
    <t>MPa/m</t>
  </si>
  <si>
    <t>nur Info</t>
  </si>
  <si>
    <t>I_Balken</t>
  </si>
  <si>
    <t>m4</t>
  </si>
  <si>
    <t>EI</t>
  </si>
  <si>
    <t>MNm2</t>
  </si>
  <si>
    <t>L</t>
  </si>
  <si>
    <t>Resultat</t>
  </si>
  <si>
    <t>Position</t>
  </si>
  <si>
    <t>Moment</t>
  </si>
  <si>
    <t>Verschiebung</t>
  </si>
  <si>
    <t>Bodenpressung</t>
  </si>
  <si>
    <t>kNm/m</t>
  </si>
  <si>
    <t>kPa</t>
  </si>
  <si>
    <t>M (kNm/m)</t>
  </si>
  <si>
    <t>q (kPa)</t>
  </si>
  <si>
    <t>Kraftincrement</t>
  </si>
  <si>
    <t>mm</t>
  </si>
  <si>
    <t>STV</t>
  </si>
  <si>
    <t>Sohlpressung</t>
  </si>
  <si>
    <t>Setzung</t>
  </si>
  <si>
    <t>Querkraft</t>
  </si>
  <si>
    <t>STV anwendbar?</t>
  </si>
  <si>
    <t>Q (kN/m)</t>
  </si>
  <si>
    <t>ks</t>
  </si>
  <si>
    <t>y (mm)</t>
  </si>
  <si>
    <t>Länge/L_elast</t>
  </si>
  <si>
    <t>Datengrundlage für Grafiken</t>
  </si>
  <si>
    <t>Einteilung</t>
  </si>
  <si>
    <t>x (m)</t>
  </si>
  <si>
    <t>q</t>
  </si>
  <si>
    <t>Fundament Mitte</t>
  </si>
  <si>
    <t>Beliebige Position</t>
  </si>
  <si>
    <t>kN/m</t>
  </si>
  <si>
    <t>max. Moment</t>
  </si>
  <si>
    <t>min. Moment</t>
  </si>
  <si>
    <t>Kontrolle</t>
  </si>
  <si>
    <t>Soll:</t>
  </si>
  <si>
    <t>Summe der Sohlpressung</t>
  </si>
  <si>
    <t>Vergleich Bettungsmodulverfahren mit Spannungstrapez</t>
  </si>
  <si>
    <t>Berechnung der Boden-Bauwerks-Interaktion mit Bettungsmodulverfahren</t>
  </si>
  <si>
    <t>Input</t>
  </si>
  <si>
    <t>LK 1</t>
  </si>
  <si>
    <t>LK 2</t>
  </si>
  <si>
    <t>LK 3</t>
  </si>
  <si>
    <t>LK 4</t>
  </si>
  <si>
    <t>F1 Max</t>
  </si>
  <si>
    <t>F2 Max</t>
  </si>
  <si>
    <t>F3 Max</t>
  </si>
  <si>
    <t>F rnd</t>
  </si>
  <si>
    <t>LK 5</t>
  </si>
  <si>
    <t>Ftot-Max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</si>
</sst>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0.000"/>
  </numFmts>
  <fonts count="9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2" fillId="3" borderId="1" applyNumberFormat="0" applyAlignment="0" applyProtection="0"/>
  </cellStyleXfs>
  <cellXfs count="27">
    <xf numFmtId="0" fontId="0" fillId="0" borderId="0" xfId="0"/>
    <xf numFmtId="0" fontId="3" fillId="0" borderId="0" xfId="0" applyFont="1"/>
    <xf numFmtId="0" fontId="4" fillId="4" borderId="0" xfId="0" applyFont="1" applyFill="1"/>
    <xf numFmtId="0" fontId="0" fillId="4" borderId="0" xfId="0" applyFill="1"/>
    <xf numFmtId="0" fontId="4" fillId="5" borderId="0" xfId="0" applyFont="1" applyFill="1"/>
    <xf numFmtId="0" fontId="0" fillId="5" borderId="0" xfId="0" applyFill="1"/>
    <xf numFmtId="0" fontId="1" fillId="2" borderId="1" xfId="1"/>
    <xf numFmtId="3" fontId="1" fillId="2" borderId="1" xfId="1" applyNumberFormat="1"/>
    <xf numFmtId="0" fontId="0" fillId="6" borderId="0" xfId="0" applyFill="1"/>
    <xf numFmtId="164" fontId="2" fillId="3" borderId="1" xfId="2" applyNumberFormat="1"/>
    <xf numFmtId="165" fontId="2" fillId="3" borderId="1" xfId="2" applyNumberFormat="1"/>
    <xf numFmtId="2" fontId="2" fillId="3" borderId="1" xfId="2" applyNumberFormat="1"/>
    <xf numFmtId="2" fontId="0" fillId="0" borderId="0" xfId="0" applyNumberFormat="1"/>
    <xf numFmtId="0" fontId="0" fillId="7" borderId="0" xfId="0" applyFill="1"/>
    <xf numFmtId="2" fontId="0" fillId="7" borderId="0" xfId="0" applyNumberFormat="1" applyFill="1"/>
    <xf numFmtId="164" fontId="0" fillId="0" borderId="0" xfId="0" applyNumberFormat="1"/>
    <xf numFmtId="165" fontId="0" fillId="0" borderId="0" xfId="0" applyNumberFormat="1"/>
    <xf numFmtId="4" fontId="1" fillId="2" borderId="1" xfId="1" applyNumberFormat="1"/>
    <xf numFmtId="1" fontId="0" fillId="0" borderId="0" xfId="0" applyNumberFormat="1"/>
    <xf numFmtId="164" fontId="1" fillId="2" borderId="1" xfId="1" applyNumberFormat="1"/>
    <xf numFmtId="0" fontId="6" fillId="0" borderId="0" xfId="0" applyFont="1" applyFill="1"/>
    <xf numFmtId="0" fontId="6" fillId="0" borderId="0" xfId="0" applyFont="1" applyFill="1" applyAlignment="1">
      <alignment horizontal="center"/>
    </xf>
    <xf numFmtId="2" fontId="5" fillId="0" borderId="0" xfId="0" applyNumberFormat="1" applyFont="1"/>
    <xf numFmtId="0" fontId="1" fillId="2" borderId="1" xfId="1" applyBorder="1"/>
    <xf numFmtId="2" fontId="0" fillId="0" borderId="0" xfId="0" applyNumberFormat="1" applyBorder="1"/>
    <xf numFmtId="0" fontId="0" fillId="0" borderId="0" xfId="0" applyBorder="1"/>
    <xf numFmtId="164" fontId="1" fillId="2" borderId="1" xfId="1" applyNumberFormat="1" applyBorder="1"/>
  </cellXfs>
  <cellStyles count="3">
    <cellStyle name="Berechnung" xfId="2" builtinId="22"/>
    <cellStyle name="Eingabe" xfId="1" builtinId="20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C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Vorlage!$K$2:$K$3</c:f>
              <c:strCache>
                <c:ptCount val="1"/>
                <c:pt idx="0">
                  <c:v>Moment M (kNm/m)</c:v>
                </c:pt>
              </c:strCache>
            </c:strRef>
          </c:tx>
          <c:marker>
            <c:symbol val="none"/>
          </c:marker>
          <c:xVal>
            <c:numRef>
              <c:f>Vorlage!$J$4:$J$760</c:f>
              <c:numCache>
                <c:formatCode>General</c:formatCode>
                <c:ptCount val="757"/>
                <c:pt idx="0">
                  <c:v>0</c:v>
                </c:pt>
                <c:pt idx="1">
                  <c:v>5.0000000000000001E-4</c:v>
                </c:pt>
                <c:pt idx="2">
                  <c:v>2.5000000000000001E-2</c:v>
                </c:pt>
                <c:pt idx="3">
                  <c:v>0.05</c:v>
                </c:pt>
                <c:pt idx="4">
                  <c:v>0.1</c:v>
                </c:pt>
                <c:pt idx="5">
                  <c:v>0.15000000000000002</c:v>
                </c:pt>
                <c:pt idx="6">
                  <c:v>0.2</c:v>
                </c:pt>
                <c:pt idx="7">
                  <c:v>0.25</c:v>
                </c:pt>
                <c:pt idx="8">
                  <c:v>0.30000000000000004</c:v>
                </c:pt>
                <c:pt idx="9">
                  <c:v>0.35000000000000003</c:v>
                </c:pt>
                <c:pt idx="10">
                  <c:v>0.4</c:v>
                </c:pt>
                <c:pt idx="11">
                  <c:v>0.45</c:v>
                </c:pt>
                <c:pt idx="12">
                  <c:v>0.47500000000000003</c:v>
                </c:pt>
                <c:pt idx="13">
                  <c:v>0.49950000000000006</c:v>
                </c:pt>
                <c:pt idx="14">
                  <c:v>0.5</c:v>
                </c:pt>
                <c:pt idx="15">
                  <c:v>0.50249999999999995</c:v>
                </c:pt>
                <c:pt idx="16">
                  <c:v>0.625</c:v>
                </c:pt>
                <c:pt idx="17">
                  <c:v>0.75</c:v>
                </c:pt>
                <c:pt idx="18">
                  <c:v>1</c:v>
                </c:pt>
                <c:pt idx="19">
                  <c:v>1.25</c:v>
                </c:pt>
                <c:pt idx="20">
                  <c:v>1.5</c:v>
                </c:pt>
                <c:pt idx="21">
                  <c:v>1.75</c:v>
                </c:pt>
                <c:pt idx="22">
                  <c:v>2</c:v>
                </c:pt>
                <c:pt idx="23">
                  <c:v>2.25</c:v>
                </c:pt>
                <c:pt idx="24">
                  <c:v>2.5</c:v>
                </c:pt>
                <c:pt idx="25">
                  <c:v>2.75</c:v>
                </c:pt>
                <c:pt idx="26">
                  <c:v>2.875</c:v>
                </c:pt>
                <c:pt idx="27">
                  <c:v>2.9975000000000001</c:v>
                </c:pt>
                <c:pt idx="28">
                  <c:v>3</c:v>
                </c:pt>
                <c:pt idx="29">
                  <c:v>3.0024999999999999</c:v>
                </c:pt>
                <c:pt idx="30">
                  <c:v>3.125</c:v>
                </c:pt>
                <c:pt idx="31">
                  <c:v>3.25</c:v>
                </c:pt>
                <c:pt idx="32">
                  <c:v>3.5</c:v>
                </c:pt>
                <c:pt idx="33">
                  <c:v>3.75</c:v>
                </c:pt>
                <c:pt idx="34">
                  <c:v>4</c:v>
                </c:pt>
                <c:pt idx="35">
                  <c:v>4.25</c:v>
                </c:pt>
                <c:pt idx="36">
                  <c:v>4.5</c:v>
                </c:pt>
                <c:pt idx="37">
                  <c:v>4.75</c:v>
                </c:pt>
                <c:pt idx="38">
                  <c:v>5</c:v>
                </c:pt>
                <c:pt idx="39">
                  <c:v>5.25</c:v>
                </c:pt>
                <c:pt idx="40">
                  <c:v>5.375</c:v>
                </c:pt>
                <c:pt idx="41">
                  <c:v>5.4975000000000005</c:v>
                </c:pt>
                <c:pt idx="42">
                  <c:v>5.5</c:v>
                </c:pt>
                <c:pt idx="43">
                  <c:v>5.5</c:v>
                </c:pt>
                <c:pt idx="44">
                  <c:v>5.5</c:v>
                </c:pt>
                <c:pt idx="45">
                  <c:v>5.5</c:v>
                </c:pt>
                <c:pt idx="46">
                  <c:v>5.5</c:v>
                </c:pt>
                <c:pt idx="47">
                  <c:v>5.5</c:v>
                </c:pt>
                <c:pt idx="48">
                  <c:v>5.5</c:v>
                </c:pt>
                <c:pt idx="49">
                  <c:v>5.5</c:v>
                </c:pt>
                <c:pt idx="50">
                  <c:v>5.5</c:v>
                </c:pt>
                <c:pt idx="51">
                  <c:v>5.5</c:v>
                </c:pt>
                <c:pt idx="52">
                  <c:v>5.5</c:v>
                </c:pt>
                <c:pt idx="53">
                  <c:v>5.5</c:v>
                </c:pt>
                <c:pt idx="54">
                  <c:v>5.5</c:v>
                </c:pt>
                <c:pt idx="55">
                  <c:v>5.5</c:v>
                </c:pt>
                <c:pt idx="56">
                  <c:v>5.5</c:v>
                </c:pt>
                <c:pt idx="57">
                  <c:v>5.5</c:v>
                </c:pt>
                <c:pt idx="58">
                  <c:v>5.5</c:v>
                </c:pt>
                <c:pt idx="59">
                  <c:v>5.5</c:v>
                </c:pt>
                <c:pt idx="60">
                  <c:v>5.5</c:v>
                </c:pt>
                <c:pt idx="61">
                  <c:v>5.5</c:v>
                </c:pt>
                <c:pt idx="62">
                  <c:v>5.5</c:v>
                </c:pt>
                <c:pt idx="63">
                  <c:v>5.5</c:v>
                </c:pt>
                <c:pt idx="64">
                  <c:v>5.5</c:v>
                </c:pt>
                <c:pt idx="65">
                  <c:v>5.5</c:v>
                </c:pt>
                <c:pt idx="66">
                  <c:v>5.5</c:v>
                </c:pt>
                <c:pt idx="67">
                  <c:v>5.5</c:v>
                </c:pt>
                <c:pt idx="68">
                  <c:v>5.5</c:v>
                </c:pt>
                <c:pt idx="69">
                  <c:v>5.5</c:v>
                </c:pt>
                <c:pt idx="70">
                  <c:v>5.5</c:v>
                </c:pt>
                <c:pt idx="71">
                  <c:v>5.5</c:v>
                </c:pt>
                <c:pt idx="72">
                  <c:v>5.5</c:v>
                </c:pt>
                <c:pt idx="73">
                  <c:v>5.5</c:v>
                </c:pt>
                <c:pt idx="74">
                  <c:v>5.5</c:v>
                </c:pt>
                <c:pt idx="75">
                  <c:v>5.5</c:v>
                </c:pt>
                <c:pt idx="76">
                  <c:v>5.5</c:v>
                </c:pt>
                <c:pt idx="77">
                  <c:v>5.5</c:v>
                </c:pt>
                <c:pt idx="78">
                  <c:v>5.5</c:v>
                </c:pt>
                <c:pt idx="79">
                  <c:v>5.5</c:v>
                </c:pt>
                <c:pt idx="80">
                  <c:v>5.5</c:v>
                </c:pt>
                <c:pt idx="81">
                  <c:v>5.5</c:v>
                </c:pt>
                <c:pt idx="82">
                  <c:v>5.5</c:v>
                </c:pt>
                <c:pt idx="83">
                  <c:v>5.5</c:v>
                </c:pt>
                <c:pt idx="84">
                  <c:v>5.5</c:v>
                </c:pt>
                <c:pt idx="85">
                  <c:v>5.5</c:v>
                </c:pt>
                <c:pt idx="86">
                  <c:v>5.5</c:v>
                </c:pt>
                <c:pt idx="87">
                  <c:v>5.5</c:v>
                </c:pt>
                <c:pt idx="88">
                  <c:v>5.5</c:v>
                </c:pt>
                <c:pt idx="89">
                  <c:v>5.5</c:v>
                </c:pt>
                <c:pt idx="90">
                  <c:v>5.5</c:v>
                </c:pt>
                <c:pt idx="91">
                  <c:v>5.5</c:v>
                </c:pt>
                <c:pt idx="92">
                  <c:v>5.5</c:v>
                </c:pt>
                <c:pt idx="93">
                  <c:v>5.5</c:v>
                </c:pt>
                <c:pt idx="94">
                  <c:v>5.5</c:v>
                </c:pt>
                <c:pt idx="95">
                  <c:v>5.5</c:v>
                </c:pt>
                <c:pt idx="96">
                  <c:v>5.5</c:v>
                </c:pt>
                <c:pt idx="97">
                  <c:v>5.5</c:v>
                </c:pt>
                <c:pt idx="98">
                  <c:v>5.5</c:v>
                </c:pt>
                <c:pt idx="99">
                  <c:v>5.5004999999999997</c:v>
                </c:pt>
                <c:pt idx="100">
                  <c:v>5.5250000000000004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5.9749999999999996</c:v>
                </c:pt>
                <c:pt idx="111">
                  <c:v>5.9995000000000003</c:v>
                </c:pt>
                <c:pt idx="112">
                  <c:v>6</c:v>
                </c:pt>
              </c:numCache>
            </c:numRef>
          </c:xVal>
          <c:yVal>
            <c:numRef>
              <c:f>Vorlage!$K$4:$K$760</c:f>
              <c:numCache>
                <c:formatCode>0</c:formatCode>
                <c:ptCount val="757"/>
                <c:pt idx="0">
                  <c:v>1.78118250358646E-14</c:v>
                </c:pt>
                <c:pt idx="1">
                  <c:v>-2.5181238839891171E-5</c:v>
                </c:pt>
                <c:pt idx="2">
                  <c:v>-6.3071060637787169E-2</c:v>
                </c:pt>
                <c:pt idx="3">
                  <c:v>-0.25276572335338959</c:v>
                </c:pt>
                <c:pt idx="4">
                  <c:v>-1.0149145593578399</c:v>
                </c:pt>
                <c:pt idx="5">
                  <c:v>-2.2922224565228864</c:v>
                </c:pt>
                <c:pt idx="6">
                  <c:v>-4.0904599729864701</c:v>
                </c:pt>
                <c:pt idx="7">
                  <c:v>-6.415386016968891</c:v>
                </c:pt>
                <c:pt idx="8">
                  <c:v>-9.2727390363008322</c:v>
                </c:pt>
                <c:pt idx="9">
                  <c:v>-12.668225628832468</c:v>
                </c:pt>
                <c:pt idx="10">
                  <c:v>-16.607506545631548</c:v>
                </c:pt>
                <c:pt idx="11">
                  <c:v>-21.096180059038449</c:v>
                </c:pt>
                <c:pt idx="12">
                  <c:v>-23.548266722272405</c:v>
                </c:pt>
                <c:pt idx="13">
                  <c:v>-26.086562171209476</c:v>
                </c:pt>
                <c:pt idx="14">
                  <c:v>-26.139762667870624</c:v>
                </c:pt>
                <c:pt idx="15">
                  <c:v>-25.5732724236758</c:v>
                </c:pt>
                <c:pt idx="16">
                  <c:v>0.45495548975540778</c:v>
                </c:pt>
                <c:pt idx="17">
                  <c:v>23.465541805382617</c:v>
                </c:pt>
                <c:pt idx="18">
                  <c:v>58.40016739004195</c:v>
                </c:pt>
                <c:pt idx="19">
                  <c:v>77.930627496332278</c:v>
                </c:pt>
                <c:pt idx="20">
                  <c:v>81.152555307842036</c:v>
                </c:pt>
                <c:pt idx="21">
                  <c:v>66.931390763087379</c:v>
                </c:pt>
                <c:pt idx="22">
                  <c:v>33.893098351635523</c:v>
                </c:pt>
                <c:pt idx="23">
                  <c:v>-19.531607140632474</c:v>
                </c:pt>
                <c:pt idx="24">
                  <c:v>-95.005344165274437</c:v>
                </c:pt>
                <c:pt idx="25">
                  <c:v>-194.11970630450529</c:v>
                </c:pt>
                <c:pt idx="26">
                  <c:v>-252.96449025162966</c:v>
                </c:pt>
                <c:pt idx="27">
                  <c:v>-316.79670206545501</c:v>
                </c:pt>
                <c:pt idx="28">
                  <c:v>-318.1634578024495</c:v>
                </c:pt>
                <c:pt idx="29">
                  <c:v>-316.69944947382061</c:v>
                </c:pt>
                <c:pt idx="30">
                  <c:v>-248.11408074598003</c:v>
                </c:pt>
                <c:pt idx="31">
                  <c:v>-184.49242276642511</c:v>
                </c:pt>
                <c:pt idx="32">
                  <c:v>-76.344599571329709</c:v>
                </c:pt>
                <c:pt idx="33">
                  <c:v>6.9457914793408309</c:v>
                </c:pt>
                <c:pt idx="34">
                  <c:v>66.290867599619318</c:v>
                </c:pt>
                <c:pt idx="35">
                  <c:v>102.59370223553593</c:v>
                </c:pt>
                <c:pt idx="36">
                  <c:v>116.566234690847</c:v>
                </c:pt>
                <c:pt idx="37">
                  <c:v>108.61779962787689</c:v>
                </c:pt>
                <c:pt idx="38">
                  <c:v>78.81215436401321</c:v>
                </c:pt>
                <c:pt idx="39">
                  <c:v>26.891773086739914</c:v>
                </c:pt>
                <c:pt idx="40">
                  <c:v>-7.5086744986638765</c:v>
                </c:pt>
                <c:pt idx="41">
                  <c:v>-46.771817124163213</c:v>
                </c:pt>
                <c:pt idx="42">
                  <c:v>-47.630799538767711</c:v>
                </c:pt>
                <c:pt idx="43">
                  <c:v>-47.630799538767711</c:v>
                </c:pt>
                <c:pt idx="44">
                  <c:v>-47.630799538767711</c:v>
                </c:pt>
                <c:pt idx="45">
                  <c:v>-47.630799538767711</c:v>
                </c:pt>
                <c:pt idx="46">
                  <c:v>-47.630799538767711</c:v>
                </c:pt>
                <c:pt idx="47">
                  <c:v>-47.630799538767711</c:v>
                </c:pt>
                <c:pt idx="48">
                  <c:v>-47.630799538767711</c:v>
                </c:pt>
                <c:pt idx="49">
                  <c:v>-47.630799538767711</c:v>
                </c:pt>
                <c:pt idx="50">
                  <c:v>-47.630799538767711</c:v>
                </c:pt>
                <c:pt idx="51">
                  <c:v>-47.630799538767711</c:v>
                </c:pt>
                <c:pt idx="52">
                  <c:v>-47.630799538767711</c:v>
                </c:pt>
                <c:pt idx="53">
                  <c:v>-47.630799538767711</c:v>
                </c:pt>
                <c:pt idx="54">
                  <c:v>-47.630799538767711</c:v>
                </c:pt>
                <c:pt idx="55">
                  <c:v>-47.630799538767711</c:v>
                </c:pt>
                <c:pt idx="56">
                  <c:v>-47.630799538767711</c:v>
                </c:pt>
                <c:pt idx="57">
                  <c:v>-47.630799538767711</c:v>
                </c:pt>
                <c:pt idx="58">
                  <c:v>-47.630799538767711</c:v>
                </c:pt>
                <c:pt idx="59">
                  <c:v>-47.630799538767711</c:v>
                </c:pt>
                <c:pt idx="60">
                  <c:v>-47.630799538767711</c:v>
                </c:pt>
                <c:pt idx="61">
                  <c:v>-47.630799538767711</c:v>
                </c:pt>
                <c:pt idx="62">
                  <c:v>-47.630799538767711</c:v>
                </c:pt>
                <c:pt idx="63">
                  <c:v>-47.630799538767711</c:v>
                </c:pt>
                <c:pt idx="64">
                  <c:v>-47.630799538767711</c:v>
                </c:pt>
                <c:pt idx="65">
                  <c:v>-47.630799538767711</c:v>
                </c:pt>
                <c:pt idx="66">
                  <c:v>-47.630799538767711</c:v>
                </c:pt>
                <c:pt idx="67">
                  <c:v>-47.630799538767711</c:v>
                </c:pt>
                <c:pt idx="68">
                  <c:v>-47.630799538767711</c:v>
                </c:pt>
                <c:pt idx="69">
                  <c:v>-47.630799538767711</c:v>
                </c:pt>
                <c:pt idx="70">
                  <c:v>-47.630799538767711</c:v>
                </c:pt>
                <c:pt idx="71">
                  <c:v>-47.630799538767711</c:v>
                </c:pt>
                <c:pt idx="72">
                  <c:v>-47.630799538767711</c:v>
                </c:pt>
                <c:pt idx="73">
                  <c:v>-47.630799538767711</c:v>
                </c:pt>
                <c:pt idx="74">
                  <c:v>-47.630799538767711</c:v>
                </c:pt>
                <c:pt idx="75">
                  <c:v>-47.630799538767711</c:v>
                </c:pt>
                <c:pt idx="76">
                  <c:v>-47.630799538767711</c:v>
                </c:pt>
                <c:pt idx="77">
                  <c:v>-47.630799538767711</c:v>
                </c:pt>
                <c:pt idx="78">
                  <c:v>-47.630799538767711</c:v>
                </c:pt>
                <c:pt idx="79">
                  <c:v>-47.630799538767711</c:v>
                </c:pt>
                <c:pt idx="80">
                  <c:v>-47.630799538767711</c:v>
                </c:pt>
                <c:pt idx="81">
                  <c:v>-47.630799538767711</c:v>
                </c:pt>
                <c:pt idx="82">
                  <c:v>-47.630799538767711</c:v>
                </c:pt>
                <c:pt idx="83">
                  <c:v>-47.630799538767711</c:v>
                </c:pt>
                <c:pt idx="84">
                  <c:v>-47.630799538767711</c:v>
                </c:pt>
                <c:pt idx="85">
                  <c:v>-47.630799538767711</c:v>
                </c:pt>
                <c:pt idx="86">
                  <c:v>-47.630799538767711</c:v>
                </c:pt>
                <c:pt idx="87">
                  <c:v>-47.630799538767711</c:v>
                </c:pt>
                <c:pt idx="88">
                  <c:v>-47.630799538767711</c:v>
                </c:pt>
                <c:pt idx="89">
                  <c:v>-47.630799538767711</c:v>
                </c:pt>
                <c:pt idx="90">
                  <c:v>-47.630799538767711</c:v>
                </c:pt>
                <c:pt idx="91">
                  <c:v>-47.630799538767711</c:v>
                </c:pt>
                <c:pt idx="92">
                  <c:v>-47.630799538767711</c:v>
                </c:pt>
                <c:pt idx="93">
                  <c:v>-47.630799538767711</c:v>
                </c:pt>
                <c:pt idx="94">
                  <c:v>-47.630799538767711</c:v>
                </c:pt>
                <c:pt idx="95">
                  <c:v>-47.630799538767711</c:v>
                </c:pt>
                <c:pt idx="96">
                  <c:v>-47.630799538767711</c:v>
                </c:pt>
                <c:pt idx="97">
                  <c:v>-47.630799538767711</c:v>
                </c:pt>
                <c:pt idx="98">
                  <c:v>-47.630799538767711</c:v>
                </c:pt>
                <c:pt idx="99">
                  <c:v>-47.536207410760689</c:v>
                </c:pt>
                <c:pt idx="100">
                  <c:v>-43.014829944656412</c:v>
                </c:pt>
                <c:pt idx="101">
                  <c:v>-38.631125157538584</c:v>
                </c:pt>
                <c:pt idx="102">
                  <c:v>-30.562598883097014</c:v>
                </c:pt>
                <c:pt idx="103">
                  <c:v>-23.429287672494539</c:v>
                </c:pt>
                <c:pt idx="104">
                  <c:v>-17.235108057816038</c:v>
                </c:pt>
                <c:pt idx="105">
                  <c:v>-11.983861074025086</c:v>
                </c:pt>
                <c:pt idx="106">
                  <c:v>-7.679262588079367</c:v>
                </c:pt>
                <c:pt idx="107">
                  <c:v>-4.324969010678875</c:v>
                </c:pt>
                <c:pt idx="108">
                  <c:v>-1.9245983724272173</c:v>
                </c:pt>
                <c:pt idx="109">
                  <c:v>-0.48174674648731802</c:v>
                </c:pt>
                <c:pt idx="110">
                  <c:v>-0.12051132004082112</c:v>
                </c:pt>
                <c:pt idx="111">
                  <c:v>-4.8233780717959821E-5</c:v>
                </c:pt>
                <c:pt idx="112">
                  <c:v>3.0580037315884086E-12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Vorlage!$N$2:$N$3</c:f>
              <c:strCache>
                <c:ptCount val="1"/>
                <c:pt idx="0">
                  <c:v>Querkraft Q (kN/m)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xVal>
            <c:numRef>
              <c:f>Vorlage!$J$4:$J$760</c:f>
              <c:numCache>
                <c:formatCode>General</c:formatCode>
                <c:ptCount val="757"/>
                <c:pt idx="0">
                  <c:v>0</c:v>
                </c:pt>
                <c:pt idx="1">
                  <c:v>5.0000000000000001E-4</c:v>
                </c:pt>
                <c:pt idx="2">
                  <c:v>2.5000000000000001E-2</c:v>
                </c:pt>
                <c:pt idx="3">
                  <c:v>0.05</c:v>
                </c:pt>
                <c:pt idx="4">
                  <c:v>0.1</c:v>
                </c:pt>
                <c:pt idx="5">
                  <c:v>0.15000000000000002</c:v>
                </c:pt>
                <c:pt idx="6">
                  <c:v>0.2</c:v>
                </c:pt>
                <c:pt idx="7">
                  <c:v>0.25</c:v>
                </c:pt>
                <c:pt idx="8">
                  <c:v>0.30000000000000004</c:v>
                </c:pt>
                <c:pt idx="9">
                  <c:v>0.35000000000000003</c:v>
                </c:pt>
                <c:pt idx="10">
                  <c:v>0.4</c:v>
                </c:pt>
                <c:pt idx="11">
                  <c:v>0.45</c:v>
                </c:pt>
                <c:pt idx="12">
                  <c:v>0.47500000000000003</c:v>
                </c:pt>
                <c:pt idx="13">
                  <c:v>0.49950000000000006</c:v>
                </c:pt>
                <c:pt idx="14">
                  <c:v>0.5</c:v>
                </c:pt>
                <c:pt idx="15">
                  <c:v>0.50249999999999995</c:v>
                </c:pt>
                <c:pt idx="16">
                  <c:v>0.625</c:v>
                </c:pt>
                <c:pt idx="17">
                  <c:v>0.75</c:v>
                </c:pt>
                <c:pt idx="18">
                  <c:v>1</c:v>
                </c:pt>
                <c:pt idx="19">
                  <c:v>1.25</c:v>
                </c:pt>
                <c:pt idx="20">
                  <c:v>1.5</c:v>
                </c:pt>
                <c:pt idx="21">
                  <c:v>1.75</c:v>
                </c:pt>
                <c:pt idx="22">
                  <c:v>2</c:v>
                </c:pt>
                <c:pt idx="23">
                  <c:v>2.25</c:v>
                </c:pt>
                <c:pt idx="24">
                  <c:v>2.5</c:v>
                </c:pt>
                <c:pt idx="25">
                  <c:v>2.75</c:v>
                </c:pt>
                <c:pt idx="26">
                  <c:v>2.875</c:v>
                </c:pt>
                <c:pt idx="27">
                  <c:v>2.9975000000000001</c:v>
                </c:pt>
                <c:pt idx="28">
                  <c:v>3</c:v>
                </c:pt>
                <c:pt idx="29">
                  <c:v>3.0024999999999999</c:v>
                </c:pt>
                <c:pt idx="30">
                  <c:v>3.125</c:v>
                </c:pt>
                <c:pt idx="31">
                  <c:v>3.25</c:v>
                </c:pt>
                <c:pt idx="32">
                  <c:v>3.5</c:v>
                </c:pt>
                <c:pt idx="33">
                  <c:v>3.75</c:v>
                </c:pt>
                <c:pt idx="34">
                  <c:v>4</c:v>
                </c:pt>
                <c:pt idx="35">
                  <c:v>4.25</c:v>
                </c:pt>
                <c:pt idx="36">
                  <c:v>4.5</c:v>
                </c:pt>
                <c:pt idx="37">
                  <c:v>4.75</c:v>
                </c:pt>
                <c:pt idx="38">
                  <c:v>5</c:v>
                </c:pt>
                <c:pt idx="39">
                  <c:v>5.25</c:v>
                </c:pt>
                <c:pt idx="40">
                  <c:v>5.375</c:v>
                </c:pt>
                <c:pt idx="41">
                  <c:v>5.4975000000000005</c:v>
                </c:pt>
                <c:pt idx="42">
                  <c:v>5.5</c:v>
                </c:pt>
                <c:pt idx="43">
                  <c:v>5.5</c:v>
                </c:pt>
                <c:pt idx="44">
                  <c:v>5.5</c:v>
                </c:pt>
                <c:pt idx="45">
                  <c:v>5.5</c:v>
                </c:pt>
                <c:pt idx="46">
                  <c:v>5.5</c:v>
                </c:pt>
                <c:pt idx="47">
                  <c:v>5.5</c:v>
                </c:pt>
                <c:pt idx="48">
                  <c:v>5.5</c:v>
                </c:pt>
                <c:pt idx="49">
                  <c:v>5.5</c:v>
                </c:pt>
                <c:pt idx="50">
                  <c:v>5.5</c:v>
                </c:pt>
                <c:pt idx="51">
                  <c:v>5.5</c:v>
                </c:pt>
                <c:pt idx="52">
                  <c:v>5.5</c:v>
                </c:pt>
                <c:pt idx="53">
                  <c:v>5.5</c:v>
                </c:pt>
                <c:pt idx="54">
                  <c:v>5.5</c:v>
                </c:pt>
                <c:pt idx="55">
                  <c:v>5.5</c:v>
                </c:pt>
                <c:pt idx="56">
                  <c:v>5.5</c:v>
                </c:pt>
                <c:pt idx="57">
                  <c:v>5.5</c:v>
                </c:pt>
                <c:pt idx="58">
                  <c:v>5.5</c:v>
                </c:pt>
                <c:pt idx="59">
                  <c:v>5.5</c:v>
                </c:pt>
                <c:pt idx="60">
                  <c:v>5.5</c:v>
                </c:pt>
                <c:pt idx="61">
                  <c:v>5.5</c:v>
                </c:pt>
                <c:pt idx="62">
                  <c:v>5.5</c:v>
                </c:pt>
                <c:pt idx="63">
                  <c:v>5.5</c:v>
                </c:pt>
                <c:pt idx="64">
                  <c:v>5.5</c:v>
                </c:pt>
                <c:pt idx="65">
                  <c:v>5.5</c:v>
                </c:pt>
                <c:pt idx="66">
                  <c:v>5.5</c:v>
                </c:pt>
                <c:pt idx="67">
                  <c:v>5.5</c:v>
                </c:pt>
                <c:pt idx="68">
                  <c:v>5.5</c:v>
                </c:pt>
                <c:pt idx="69">
                  <c:v>5.5</c:v>
                </c:pt>
                <c:pt idx="70">
                  <c:v>5.5</c:v>
                </c:pt>
                <c:pt idx="71">
                  <c:v>5.5</c:v>
                </c:pt>
                <c:pt idx="72">
                  <c:v>5.5</c:v>
                </c:pt>
                <c:pt idx="73">
                  <c:v>5.5</c:v>
                </c:pt>
                <c:pt idx="74">
                  <c:v>5.5</c:v>
                </c:pt>
                <c:pt idx="75">
                  <c:v>5.5</c:v>
                </c:pt>
                <c:pt idx="76">
                  <c:v>5.5</c:v>
                </c:pt>
                <c:pt idx="77">
                  <c:v>5.5</c:v>
                </c:pt>
                <c:pt idx="78">
                  <c:v>5.5</c:v>
                </c:pt>
                <c:pt idx="79">
                  <c:v>5.5</c:v>
                </c:pt>
                <c:pt idx="80">
                  <c:v>5.5</c:v>
                </c:pt>
                <c:pt idx="81">
                  <c:v>5.5</c:v>
                </c:pt>
                <c:pt idx="82">
                  <c:v>5.5</c:v>
                </c:pt>
                <c:pt idx="83">
                  <c:v>5.5</c:v>
                </c:pt>
                <c:pt idx="84">
                  <c:v>5.5</c:v>
                </c:pt>
                <c:pt idx="85">
                  <c:v>5.5</c:v>
                </c:pt>
                <c:pt idx="86">
                  <c:v>5.5</c:v>
                </c:pt>
                <c:pt idx="87">
                  <c:v>5.5</c:v>
                </c:pt>
                <c:pt idx="88">
                  <c:v>5.5</c:v>
                </c:pt>
                <c:pt idx="89">
                  <c:v>5.5</c:v>
                </c:pt>
                <c:pt idx="90">
                  <c:v>5.5</c:v>
                </c:pt>
                <c:pt idx="91">
                  <c:v>5.5</c:v>
                </c:pt>
                <c:pt idx="92">
                  <c:v>5.5</c:v>
                </c:pt>
                <c:pt idx="93">
                  <c:v>5.5</c:v>
                </c:pt>
                <c:pt idx="94">
                  <c:v>5.5</c:v>
                </c:pt>
                <c:pt idx="95">
                  <c:v>5.5</c:v>
                </c:pt>
                <c:pt idx="96">
                  <c:v>5.5</c:v>
                </c:pt>
                <c:pt idx="97">
                  <c:v>5.5</c:v>
                </c:pt>
                <c:pt idx="98">
                  <c:v>5.5</c:v>
                </c:pt>
                <c:pt idx="99">
                  <c:v>5.5004999999999997</c:v>
                </c:pt>
                <c:pt idx="100">
                  <c:v>5.5250000000000004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5.9749999999999996</c:v>
                </c:pt>
                <c:pt idx="111">
                  <c:v>5.9995000000000003</c:v>
                </c:pt>
                <c:pt idx="112">
                  <c:v>6</c:v>
                </c:pt>
              </c:numCache>
            </c:numRef>
          </c:xVal>
          <c:yVal>
            <c:numRef>
              <c:f>Vorlage!$N$4:$N$760</c:f>
              <c:numCache>
                <c:formatCode>0</c:formatCode>
                <c:ptCount val="757"/>
                <c:pt idx="0">
                  <c:v>4.1133077198272879E-14</c:v>
                </c:pt>
                <c:pt idx="1">
                  <c:v>-0.10072688130690778</c:v>
                </c:pt>
                <c:pt idx="2">
                  <c:v>-5.0504996826396331</c:v>
                </c:pt>
                <c:pt idx="3">
                  <c:v>-10.129888020306513</c:v>
                </c:pt>
                <c:pt idx="4">
                  <c:v>-20.375319825848646</c:v>
                </c:pt>
                <c:pt idx="5">
                  <c:v>-30.736233339715813</c:v>
                </c:pt>
                <c:pt idx="6">
                  <c:v>-41.212466615042004</c:v>
                </c:pt>
                <c:pt idx="7">
                  <c:v>-51.803707098881809</c:v>
                </c:pt>
                <c:pt idx="8">
                  <c:v>-62.50944033150062</c:v>
                </c:pt>
                <c:pt idx="9">
                  <c:v>-73.328898082652344</c:v>
                </c:pt>
                <c:pt idx="10">
                  <c:v>-84.261005927405591</c:v>
                </c:pt>
                <c:pt idx="11">
                  <c:v>-95.304330265323429</c:v>
                </c:pt>
                <c:pt idx="12">
                  <c:v>-100.86713924429853</c:v>
                </c:pt>
                <c:pt idx="13">
                  <c:v>-106.34496364170219</c:v>
                </c:pt>
                <c:pt idx="14">
                  <c:v>-106.45702478830093</c:v>
                </c:pt>
                <c:pt idx="15">
                  <c:v>226.31584221214686</c:v>
                </c:pt>
                <c:pt idx="16">
                  <c:v>198.52989729322692</c:v>
                </c:pt>
                <c:pt idx="17">
                  <c:v>169.53014397957</c:v>
                </c:pt>
                <c:pt idx="18">
                  <c:v>109.46499406426263</c:v>
                </c:pt>
                <c:pt idx="19">
                  <c:v>46.179756136881622</c:v>
                </c:pt>
                <c:pt idx="20">
                  <c:v>-21.160055135315748</c:v>
                </c:pt>
                <c:pt idx="21">
                  <c:v>-93.528193228898658</c:v>
                </c:pt>
                <c:pt idx="22">
                  <c:v>-171.83108489493392</c:v>
                </c:pt>
                <c:pt idx="23">
                  <c:v>-256.68588008927424</c:v>
                </c:pt>
                <c:pt idx="24">
                  <c:v>-348.18048573539869</c:v>
                </c:pt>
                <c:pt idx="25">
                  <c:v>-445.61381689434535</c:v>
                </c:pt>
                <c:pt idx="26">
                  <c:v>-496.05423178062097</c:v>
                </c:pt>
                <c:pt idx="27">
                  <c:v>-546.18848067510487</c:v>
                </c:pt>
                <c:pt idx="28">
                  <c:v>-547.21612879224779</c:v>
                </c:pt>
                <c:pt idx="29">
                  <c:v>585.08943913863368</c:v>
                </c:pt>
                <c:pt idx="30">
                  <c:v>534.6617844878607</c:v>
                </c:pt>
                <c:pt idx="31">
                  <c:v>483.33708924180246</c:v>
                </c:pt>
                <c:pt idx="32">
                  <c:v>382.31141894557589</c:v>
                </c:pt>
                <c:pt idx="33">
                  <c:v>284.63678643507103</c:v>
                </c:pt>
                <c:pt idx="34">
                  <c:v>190.73798452662791</c:v>
                </c:pt>
                <c:pt idx="35">
                  <c:v>100.16672937817394</c:v>
                </c:pt>
                <c:pt idx="36">
                  <c:v>11.889272954788973</c:v>
                </c:pt>
                <c:pt idx="37">
                  <c:v>-75.435870053029021</c:v>
                </c:pt>
                <c:pt idx="38">
                  <c:v>-163.1870586670212</c:v>
                </c:pt>
                <c:pt idx="39">
                  <c:v>-252.51155787114399</c:v>
                </c:pt>
                <c:pt idx="40">
                  <c:v>-297.9929750285105</c:v>
                </c:pt>
                <c:pt idx="41">
                  <c:v>-343.12958328600462</c:v>
                </c:pt>
                <c:pt idx="42">
                  <c:v>-344.05638479857447</c:v>
                </c:pt>
                <c:pt idx="43">
                  <c:v>-344.05638479857447</c:v>
                </c:pt>
                <c:pt idx="44">
                  <c:v>-344.05638479857447</c:v>
                </c:pt>
                <c:pt idx="45">
                  <c:v>-344.05638479857447</c:v>
                </c:pt>
                <c:pt idx="46">
                  <c:v>-344.05638479857447</c:v>
                </c:pt>
                <c:pt idx="47">
                  <c:v>-344.05638479857447</c:v>
                </c:pt>
                <c:pt idx="48">
                  <c:v>-344.05638479857447</c:v>
                </c:pt>
                <c:pt idx="49">
                  <c:v>-344.05638479857447</c:v>
                </c:pt>
                <c:pt idx="50">
                  <c:v>-344.05638479857447</c:v>
                </c:pt>
                <c:pt idx="51">
                  <c:v>-344.05638479857447</c:v>
                </c:pt>
                <c:pt idx="52">
                  <c:v>-344.05638479857447</c:v>
                </c:pt>
                <c:pt idx="53">
                  <c:v>-344.05638479857447</c:v>
                </c:pt>
                <c:pt idx="54">
                  <c:v>-344.05638479857447</c:v>
                </c:pt>
                <c:pt idx="55">
                  <c:v>-344.05638479857447</c:v>
                </c:pt>
                <c:pt idx="56">
                  <c:v>-344.05638479857447</c:v>
                </c:pt>
                <c:pt idx="57">
                  <c:v>-344.05638479857447</c:v>
                </c:pt>
                <c:pt idx="58">
                  <c:v>-344.05638479857447</c:v>
                </c:pt>
                <c:pt idx="59">
                  <c:v>-344.05638479857447</c:v>
                </c:pt>
                <c:pt idx="60">
                  <c:v>-344.05638479857447</c:v>
                </c:pt>
                <c:pt idx="61">
                  <c:v>-344.05638479857447</c:v>
                </c:pt>
                <c:pt idx="62">
                  <c:v>-344.05638479857447</c:v>
                </c:pt>
                <c:pt idx="63">
                  <c:v>-344.05638479857447</c:v>
                </c:pt>
                <c:pt idx="64">
                  <c:v>-344.05638479857447</c:v>
                </c:pt>
                <c:pt idx="65">
                  <c:v>-344.05638479857447</c:v>
                </c:pt>
                <c:pt idx="66">
                  <c:v>-344.05638479857447</c:v>
                </c:pt>
                <c:pt idx="67">
                  <c:v>-344.05638479857447</c:v>
                </c:pt>
                <c:pt idx="68">
                  <c:v>-344.05638479857447</c:v>
                </c:pt>
                <c:pt idx="69">
                  <c:v>-344.05638479857447</c:v>
                </c:pt>
                <c:pt idx="70">
                  <c:v>-344.05638479857447</c:v>
                </c:pt>
                <c:pt idx="71">
                  <c:v>-344.05638479857447</c:v>
                </c:pt>
                <c:pt idx="72">
                  <c:v>-344.05638479857447</c:v>
                </c:pt>
                <c:pt idx="73">
                  <c:v>-344.05638479857447</c:v>
                </c:pt>
                <c:pt idx="74">
                  <c:v>-344.05638479857447</c:v>
                </c:pt>
                <c:pt idx="75">
                  <c:v>-344.05638479857447</c:v>
                </c:pt>
                <c:pt idx="76">
                  <c:v>-344.05638479857447</c:v>
                </c:pt>
                <c:pt idx="77">
                  <c:v>-344.05638479857447</c:v>
                </c:pt>
                <c:pt idx="78">
                  <c:v>-344.05638479857447</c:v>
                </c:pt>
                <c:pt idx="79">
                  <c:v>-344.05638479857447</c:v>
                </c:pt>
                <c:pt idx="80">
                  <c:v>-344.05638479857447</c:v>
                </c:pt>
                <c:pt idx="81">
                  <c:v>-344.05638479857447</c:v>
                </c:pt>
                <c:pt idx="82">
                  <c:v>-344.05638479857447</c:v>
                </c:pt>
                <c:pt idx="83">
                  <c:v>-344.05638479857447</c:v>
                </c:pt>
                <c:pt idx="84">
                  <c:v>-344.05638479857447</c:v>
                </c:pt>
                <c:pt idx="85">
                  <c:v>-344.05638479857447</c:v>
                </c:pt>
                <c:pt idx="86">
                  <c:v>-344.05638479857447</c:v>
                </c:pt>
                <c:pt idx="87">
                  <c:v>-344.05638479857447</c:v>
                </c:pt>
                <c:pt idx="88">
                  <c:v>-344.05638479857447</c:v>
                </c:pt>
                <c:pt idx="89">
                  <c:v>-344.05638479857447</c:v>
                </c:pt>
                <c:pt idx="90">
                  <c:v>-344.05638479857447</c:v>
                </c:pt>
                <c:pt idx="91">
                  <c:v>-344.05638479857447</c:v>
                </c:pt>
                <c:pt idx="92">
                  <c:v>-344.05638479857447</c:v>
                </c:pt>
                <c:pt idx="93">
                  <c:v>-344.05638479857447</c:v>
                </c:pt>
                <c:pt idx="94">
                  <c:v>-344.05638479857447</c:v>
                </c:pt>
                <c:pt idx="95">
                  <c:v>-344.05638479857447</c:v>
                </c:pt>
                <c:pt idx="96">
                  <c:v>-344.05638479857447</c:v>
                </c:pt>
                <c:pt idx="97">
                  <c:v>-344.05638479857447</c:v>
                </c:pt>
                <c:pt idx="98">
                  <c:v>-344.05638479857447</c:v>
                </c:pt>
                <c:pt idx="99">
                  <c:v>189.09156203985074</c:v>
                </c:pt>
                <c:pt idx="100">
                  <c:v>179.99703090083858</c:v>
                </c:pt>
                <c:pt idx="101">
                  <c:v>170.69585177309114</c:v>
                </c:pt>
                <c:pt idx="102">
                  <c:v>152.03165585113825</c:v>
                </c:pt>
                <c:pt idx="103">
                  <c:v>133.28774910953726</c:v>
                </c:pt>
                <c:pt idx="104">
                  <c:v>114.4667754716484</c:v>
                </c:pt>
                <c:pt idx="105">
                  <c:v>95.570726228248972</c:v>
                </c:pt>
                <c:pt idx="106">
                  <c:v>76.601032200152119</c:v>
                </c:pt>
                <c:pt idx="107">
                  <c:v>57.558656268918376</c:v>
                </c:pt>
                <c:pt idx="108">
                  <c:v>38.444186268578761</c:v>
                </c:pt>
                <c:pt idx="109">
                  <c:v>19.257928233582042</c:v>
                </c:pt>
                <c:pt idx="110">
                  <c:v>9.6379203117358081</c:v>
                </c:pt>
                <c:pt idx="111">
                  <c:v>0.19293394092271857</c:v>
                </c:pt>
                <c:pt idx="112">
                  <c:v>4.3708214688040361E-12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2549632"/>
        <c:axId val="512551168"/>
      </c:scatterChart>
      <c:valAx>
        <c:axId val="512549632"/>
        <c:scaling>
          <c:orientation val="minMax"/>
          <c:min val="0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512551168"/>
        <c:crosses val="autoZero"/>
        <c:crossBetween val="midCat"/>
      </c:valAx>
      <c:valAx>
        <c:axId val="5125511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CH"/>
                  <a:t>Querkraft (kN/m) resp Moment (kNm/m)</a:t>
                </a:r>
              </a:p>
            </c:rich>
          </c:tx>
          <c:layout/>
          <c:overlay val="0"/>
        </c:title>
        <c:numFmt formatCode="0" sourceLinked="1"/>
        <c:majorTickMark val="out"/>
        <c:minorTickMark val="none"/>
        <c:tickLblPos val="nextTo"/>
        <c:crossAx val="512549632"/>
        <c:crosses val="autoZero"/>
        <c:crossBetween val="midCat"/>
      </c:valAx>
    </c:plotArea>
    <c:legend>
      <c:legendPos val="t"/>
      <c:layout/>
      <c:overlay val="0"/>
      <c:txPr>
        <a:bodyPr/>
        <a:lstStyle/>
        <a:p>
          <a:pPr>
            <a:defRPr sz="1200" b="1"/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C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Vorlage!$K$2:$K$3</c:f>
              <c:strCache>
                <c:ptCount val="1"/>
                <c:pt idx="0">
                  <c:v>Moment M (kNm/m)</c:v>
                </c:pt>
              </c:strCache>
            </c:strRef>
          </c:tx>
          <c:marker>
            <c:symbol val="none"/>
          </c:marker>
          <c:xVal>
            <c:numRef>
              <c:f>Vorlage!$J$4:$J$760</c:f>
              <c:numCache>
                <c:formatCode>General</c:formatCode>
                <c:ptCount val="757"/>
                <c:pt idx="0">
                  <c:v>0</c:v>
                </c:pt>
                <c:pt idx="1">
                  <c:v>5.0000000000000001E-4</c:v>
                </c:pt>
                <c:pt idx="2">
                  <c:v>2.5000000000000001E-2</c:v>
                </c:pt>
                <c:pt idx="3">
                  <c:v>0.05</c:v>
                </c:pt>
                <c:pt idx="4">
                  <c:v>0.1</c:v>
                </c:pt>
                <c:pt idx="5">
                  <c:v>0.15000000000000002</c:v>
                </c:pt>
                <c:pt idx="6">
                  <c:v>0.2</c:v>
                </c:pt>
                <c:pt idx="7">
                  <c:v>0.25</c:v>
                </c:pt>
                <c:pt idx="8">
                  <c:v>0.30000000000000004</c:v>
                </c:pt>
                <c:pt idx="9">
                  <c:v>0.35000000000000003</c:v>
                </c:pt>
                <c:pt idx="10">
                  <c:v>0.4</c:v>
                </c:pt>
                <c:pt idx="11">
                  <c:v>0.45</c:v>
                </c:pt>
                <c:pt idx="12">
                  <c:v>0.47500000000000003</c:v>
                </c:pt>
                <c:pt idx="13">
                  <c:v>0.49950000000000006</c:v>
                </c:pt>
                <c:pt idx="14">
                  <c:v>0.5</c:v>
                </c:pt>
                <c:pt idx="15">
                  <c:v>0.50249999999999995</c:v>
                </c:pt>
                <c:pt idx="16">
                  <c:v>0.625</c:v>
                </c:pt>
                <c:pt idx="17">
                  <c:v>0.75</c:v>
                </c:pt>
                <c:pt idx="18">
                  <c:v>1</c:v>
                </c:pt>
                <c:pt idx="19">
                  <c:v>1.25</c:v>
                </c:pt>
                <c:pt idx="20">
                  <c:v>1.5</c:v>
                </c:pt>
                <c:pt idx="21">
                  <c:v>1.75</c:v>
                </c:pt>
                <c:pt idx="22">
                  <c:v>2</c:v>
                </c:pt>
                <c:pt idx="23">
                  <c:v>2.25</c:v>
                </c:pt>
                <c:pt idx="24">
                  <c:v>2.5</c:v>
                </c:pt>
                <c:pt idx="25">
                  <c:v>2.75</c:v>
                </c:pt>
                <c:pt idx="26">
                  <c:v>2.875</c:v>
                </c:pt>
                <c:pt idx="27">
                  <c:v>2.9975000000000001</c:v>
                </c:pt>
                <c:pt idx="28">
                  <c:v>3</c:v>
                </c:pt>
                <c:pt idx="29">
                  <c:v>3.0024999999999999</c:v>
                </c:pt>
                <c:pt idx="30">
                  <c:v>3.125</c:v>
                </c:pt>
                <c:pt idx="31">
                  <c:v>3.25</c:v>
                </c:pt>
                <c:pt idx="32">
                  <c:v>3.5</c:v>
                </c:pt>
                <c:pt idx="33">
                  <c:v>3.75</c:v>
                </c:pt>
                <c:pt idx="34">
                  <c:v>4</c:v>
                </c:pt>
                <c:pt idx="35">
                  <c:v>4.25</c:v>
                </c:pt>
                <c:pt idx="36">
                  <c:v>4.5</c:v>
                </c:pt>
                <c:pt idx="37">
                  <c:v>4.75</c:v>
                </c:pt>
                <c:pt idx="38">
                  <c:v>5</c:v>
                </c:pt>
                <c:pt idx="39">
                  <c:v>5.25</c:v>
                </c:pt>
                <c:pt idx="40">
                  <c:v>5.375</c:v>
                </c:pt>
                <c:pt idx="41">
                  <c:v>5.4975000000000005</c:v>
                </c:pt>
                <c:pt idx="42">
                  <c:v>5.5</c:v>
                </c:pt>
                <c:pt idx="43">
                  <c:v>5.5</c:v>
                </c:pt>
                <c:pt idx="44">
                  <c:v>5.5</c:v>
                </c:pt>
                <c:pt idx="45">
                  <c:v>5.5</c:v>
                </c:pt>
                <c:pt idx="46">
                  <c:v>5.5</c:v>
                </c:pt>
                <c:pt idx="47">
                  <c:v>5.5</c:v>
                </c:pt>
                <c:pt idx="48">
                  <c:v>5.5</c:v>
                </c:pt>
                <c:pt idx="49">
                  <c:v>5.5</c:v>
                </c:pt>
                <c:pt idx="50">
                  <c:v>5.5</c:v>
                </c:pt>
                <c:pt idx="51">
                  <c:v>5.5</c:v>
                </c:pt>
                <c:pt idx="52">
                  <c:v>5.5</c:v>
                </c:pt>
                <c:pt idx="53">
                  <c:v>5.5</c:v>
                </c:pt>
                <c:pt idx="54">
                  <c:v>5.5</c:v>
                </c:pt>
                <c:pt idx="55">
                  <c:v>5.5</c:v>
                </c:pt>
                <c:pt idx="56">
                  <c:v>5.5</c:v>
                </c:pt>
                <c:pt idx="57">
                  <c:v>5.5</c:v>
                </c:pt>
                <c:pt idx="58">
                  <c:v>5.5</c:v>
                </c:pt>
                <c:pt idx="59">
                  <c:v>5.5</c:v>
                </c:pt>
                <c:pt idx="60">
                  <c:v>5.5</c:v>
                </c:pt>
                <c:pt idx="61">
                  <c:v>5.5</c:v>
                </c:pt>
                <c:pt idx="62">
                  <c:v>5.5</c:v>
                </c:pt>
                <c:pt idx="63">
                  <c:v>5.5</c:v>
                </c:pt>
                <c:pt idx="64">
                  <c:v>5.5</c:v>
                </c:pt>
                <c:pt idx="65">
                  <c:v>5.5</c:v>
                </c:pt>
                <c:pt idx="66">
                  <c:v>5.5</c:v>
                </c:pt>
                <c:pt idx="67">
                  <c:v>5.5</c:v>
                </c:pt>
                <c:pt idx="68">
                  <c:v>5.5</c:v>
                </c:pt>
                <c:pt idx="69">
                  <c:v>5.5</c:v>
                </c:pt>
                <c:pt idx="70">
                  <c:v>5.5</c:v>
                </c:pt>
                <c:pt idx="71">
                  <c:v>5.5</c:v>
                </c:pt>
                <c:pt idx="72">
                  <c:v>5.5</c:v>
                </c:pt>
                <c:pt idx="73">
                  <c:v>5.5</c:v>
                </c:pt>
                <c:pt idx="74">
                  <c:v>5.5</c:v>
                </c:pt>
                <c:pt idx="75">
                  <c:v>5.5</c:v>
                </c:pt>
                <c:pt idx="76">
                  <c:v>5.5</c:v>
                </c:pt>
                <c:pt idx="77">
                  <c:v>5.5</c:v>
                </c:pt>
                <c:pt idx="78">
                  <c:v>5.5</c:v>
                </c:pt>
                <c:pt idx="79">
                  <c:v>5.5</c:v>
                </c:pt>
                <c:pt idx="80">
                  <c:v>5.5</c:v>
                </c:pt>
                <c:pt idx="81">
                  <c:v>5.5</c:v>
                </c:pt>
                <c:pt idx="82">
                  <c:v>5.5</c:v>
                </c:pt>
                <c:pt idx="83">
                  <c:v>5.5</c:v>
                </c:pt>
                <c:pt idx="84">
                  <c:v>5.5</c:v>
                </c:pt>
                <c:pt idx="85">
                  <c:v>5.5</c:v>
                </c:pt>
                <c:pt idx="86">
                  <c:v>5.5</c:v>
                </c:pt>
                <c:pt idx="87">
                  <c:v>5.5</c:v>
                </c:pt>
                <c:pt idx="88">
                  <c:v>5.5</c:v>
                </c:pt>
                <c:pt idx="89">
                  <c:v>5.5</c:v>
                </c:pt>
                <c:pt idx="90">
                  <c:v>5.5</c:v>
                </c:pt>
                <c:pt idx="91">
                  <c:v>5.5</c:v>
                </c:pt>
                <c:pt idx="92">
                  <c:v>5.5</c:v>
                </c:pt>
                <c:pt idx="93">
                  <c:v>5.5</c:v>
                </c:pt>
                <c:pt idx="94">
                  <c:v>5.5</c:v>
                </c:pt>
                <c:pt idx="95">
                  <c:v>5.5</c:v>
                </c:pt>
                <c:pt idx="96">
                  <c:v>5.5</c:v>
                </c:pt>
                <c:pt idx="97">
                  <c:v>5.5</c:v>
                </c:pt>
                <c:pt idx="98">
                  <c:v>5.5</c:v>
                </c:pt>
                <c:pt idx="99">
                  <c:v>5.5004999999999997</c:v>
                </c:pt>
                <c:pt idx="100">
                  <c:v>5.5250000000000004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5.9749999999999996</c:v>
                </c:pt>
                <c:pt idx="111">
                  <c:v>5.9995000000000003</c:v>
                </c:pt>
                <c:pt idx="112">
                  <c:v>6</c:v>
                </c:pt>
              </c:numCache>
            </c:numRef>
          </c:xVal>
          <c:yVal>
            <c:numRef>
              <c:f>Vorlage!$K$4:$K$760</c:f>
              <c:numCache>
                <c:formatCode>0</c:formatCode>
                <c:ptCount val="757"/>
                <c:pt idx="0">
                  <c:v>1.78118250358646E-14</c:v>
                </c:pt>
                <c:pt idx="1">
                  <c:v>-2.5181238839891171E-5</c:v>
                </c:pt>
                <c:pt idx="2">
                  <c:v>-6.3071060637787169E-2</c:v>
                </c:pt>
                <c:pt idx="3">
                  <c:v>-0.25276572335338959</c:v>
                </c:pt>
                <c:pt idx="4">
                  <c:v>-1.0149145593578399</c:v>
                </c:pt>
                <c:pt idx="5">
                  <c:v>-2.2922224565228864</c:v>
                </c:pt>
                <c:pt idx="6">
                  <c:v>-4.0904599729864701</c:v>
                </c:pt>
                <c:pt idx="7">
                  <c:v>-6.415386016968891</c:v>
                </c:pt>
                <c:pt idx="8">
                  <c:v>-9.2727390363008322</c:v>
                </c:pt>
                <c:pt idx="9">
                  <c:v>-12.668225628832468</c:v>
                </c:pt>
                <c:pt idx="10">
                  <c:v>-16.607506545631548</c:v>
                </c:pt>
                <c:pt idx="11">
                  <c:v>-21.096180059038449</c:v>
                </c:pt>
                <c:pt idx="12">
                  <c:v>-23.548266722272405</c:v>
                </c:pt>
                <c:pt idx="13">
                  <c:v>-26.086562171209476</c:v>
                </c:pt>
                <c:pt idx="14">
                  <c:v>-26.139762667870624</c:v>
                </c:pt>
                <c:pt idx="15">
                  <c:v>-25.5732724236758</c:v>
                </c:pt>
                <c:pt idx="16">
                  <c:v>0.45495548975540778</c:v>
                </c:pt>
                <c:pt idx="17">
                  <c:v>23.465541805382617</c:v>
                </c:pt>
                <c:pt idx="18">
                  <c:v>58.40016739004195</c:v>
                </c:pt>
                <c:pt idx="19">
                  <c:v>77.930627496332278</c:v>
                </c:pt>
                <c:pt idx="20">
                  <c:v>81.152555307842036</c:v>
                </c:pt>
                <c:pt idx="21">
                  <c:v>66.931390763087379</c:v>
                </c:pt>
                <c:pt idx="22">
                  <c:v>33.893098351635523</c:v>
                </c:pt>
                <c:pt idx="23">
                  <c:v>-19.531607140632474</c:v>
                </c:pt>
                <c:pt idx="24">
                  <c:v>-95.005344165274437</c:v>
                </c:pt>
                <c:pt idx="25">
                  <c:v>-194.11970630450529</c:v>
                </c:pt>
                <c:pt idx="26">
                  <c:v>-252.96449025162966</c:v>
                </c:pt>
                <c:pt idx="27">
                  <c:v>-316.79670206545501</c:v>
                </c:pt>
                <c:pt idx="28">
                  <c:v>-318.1634578024495</c:v>
                </c:pt>
                <c:pt idx="29">
                  <c:v>-316.69944947382061</c:v>
                </c:pt>
                <c:pt idx="30">
                  <c:v>-248.11408074598003</c:v>
                </c:pt>
                <c:pt idx="31">
                  <c:v>-184.49242276642511</c:v>
                </c:pt>
                <c:pt idx="32">
                  <c:v>-76.344599571329709</c:v>
                </c:pt>
                <c:pt idx="33">
                  <c:v>6.9457914793408309</c:v>
                </c:pt>
                <c:pt idx="34">
                  <c:v>66.290867599619318</c:v>
                </c:pt>
                <c:pt idx="35">
                  <c:v>102.59370223553593</c:v>
                </c:pt>
                <c:pt idx="36">
                  <c:v>116.566234690847</c:v>
                </c:pt>
                <c:pt idx="37">
                  <c:v>108.61779962787689</c:v>
                </c:pt>
                <c:pt idx="38">
                  <c:v>78.81215436401321</c:v>
                </c:pt>
                <c:pt idx="39">
                  <c:v>26.891773086739914</c:v>
                </c:pt>
                <c:pt idx="40">
                  <c:v>-7.5086744986638765</c:v>
                </c:pt>
                <c:pt idx="41">
                  <c:v>-46.771817124163213</c:v>
                </c:pt>
                <c:pt idx="42">
                  <c:v>-47.630799538767711</c:v>
                </c:pt>
                <c:pt idx="43">
                  <c:v>-47.630799538767711</c:v>
                </c:pt>
                <c:pt idx="44">
                  <c:v>-47.630799538767711</c:v>
                </c:pt>
                <c:pt idx="45">
                  <c:v>-47.630799538767711</c:v>
                </c:pt>
                <c:pt idx="46">
                  <c:v>-47.630799538767711</c:v>
                </c:pt>
                <c:pt idx="47">
                  <c:v>-47.630799538767711</c:v>
                </c:pt>
                <c:pt idx="48">
                  <c:v>-47.630799538767711</c:v>
                </c:pt>
                <c:pt idx="49">
                  <c:v>-47.630799538767711</c:v>
                </c:pt>
                <c:pt idx="50">
                  <c:v>-47.630799538767711</c:v>
                </c:pt>
                <c:pt idx="51">
                  <c:v>-47.630799538767711</c:v>
                </c:pt>
                <c:pt idx="52">
                  <c:v>-47.630799538767711</c:v>
                </c:pt>
                <c:pt idx="53">
                  <c:v>-47.630799538767711</c:v>
                </c:pt>
                <c:pt idx="54">
                  <c:v>-47.630799538767711</c:v>
                </c:pt>
                <c:pt idx="55">
                  <c:v>-47.630799538767711</c:v>
                </c:pt>
                <c:pt idx="56">
                  <c:v>-47.630799538767711</c:v>
                </c:pt>
                <c:pt idx="57">
                  <c:v>-47.630799538767711</c:v>
                </c:pt>
                <c:pt idx="58">
                  <c:v>-47.630799538767711</c:v>
                </c:pt>
                <c:pt idx="59">
                  <c:v>-47.630799538767711</c:v>
                </c:pt>
                <c:pt idx="60">
                  <c:v>-47.630799538767711</c:v>
                </c:pt>
                <c:pt idx="61">
                  <c:v>-47.630799538767711</c:v>
                </c:pt>
                <c:pt idx="62">
                  <c:v>-47.630799538767711</c:v>
                </c:pt>
                <c:pt idx="63">
                  <c:v>-47.630799538767711</c:v>
                </c:pt>
                <c:pt idx="64">
                  <c:v>-47.630799538767711</c:v>
                </c:pt>
                <c:pt idx="65">
                  <c:v>-47.630799538767711</c:v>
                </c:pt>
                <c:pt idx="66">
                  <c:v>-47.630799538767711</c:v>
                </c:pt>
                <c:pt idx="67">
                  <c:v>-47.630799538767711</c:v>
                </c:pt>
                <c:pt idx="68">
                  <c:v>-47.630799538767711</c:v>
                </c:pt>
                <c:pt idx="69">
                  <c:v>-47.630799538767711</c:v>
                </c:pt>
                <c:pt idx="70">
                  <c:v>-47.630799538767711</c:v>
                </c:pt>
                <c:pt idx="71">
                  <c:v>-47.630799538767711</c:v>
                </c:pt>
                <c:pt idx="72">
                  <c:v>-47.630799538767711</c:v>
                </c:pt>
                <c:pt idx="73">
                  <c:v>-47.630799538767711</c:v>
                </c:pt>
                <c:pt idx="74">
                  <c:v>-47.630799538767711</c:v>
                </c:pt>
                <c:pt idx="75">
                  <c:v>-47.630799538767711</c:v>
                </c:pt>
                <c:pt idx="76">
                  <c:v>-47.630799538767711</c:v>
                </c:pt>
                <c:pt idx="77">
                  <c:v>-47.630799538767711</c:v>
                </c:pt>
                <c:pt idx="78">
                  <c:v>-47.630799538767711</c:v>
                </c:pt>
                <c:pt idx="79">
                  <c:v>-47.630799538767711</c:v>
                </c:pt>
                <c:pt idx="80">
                  <c:v>-47.630799538767711</c:v>
                </c:pt>
                <c:pt idx="81">
                  <c:v>-47.630799538767711</c:v>
                </c:pt>
                <c:pt idx="82">
                  <c:v>-47.630799538767711</c:v>
                </c:pt>
                <c:pt idx="83">
                  <c:v>-47.630799538767711</c:v>
                </c:pt>
                <c:pt idx="84">
                  <c:v>-47.630799538767711</c:v>
                </c:pt>
                <c:pt idx="85">
                  <c:v>-47.630799538767711</c:v>
                </c:pt>
                <c:pt idx="86">
                  <c:v>-47.630799538767711</c:v>
                </c:pt>
                <c:pt idx="87">
                  <c:v>-47.630799538767711</c:v>
                </c:pt>
                <c:pt idx="88">
                  <c:v>-47.630799538767711</c:v>
                </c:pt>
                <c:pt idx="89">
                  <c:v>-47.630799538767711</c:v>
                </c:pt>
                <c:pt idx="90">
                  <c:v>-47.630799538767711</c:v>
                </c:pt>
                <c:pt idx="91">
                  <c:v>-47.630799538767711</c:v>
                </c:pt>
                <c:pt idx="92">
                  <c:v>-47.630799538767711</c:v>
                </c:pt>
                <c:pt idx="93">
                  <c:v>-47.630799538767711</c:v>
                </c:pt>
                <c:pt idx="94">
                  <c:v>-47.630799538767711</c:v>
                </c:pt>
                <c:pt idx="95">
                  <c:v>-47.630799538767711</c:v>
                </c:pt>
                <c:pt idx="96">
                  <c:v>-47.630799538767711</c:v>
                </c:pt>
                <c:pt idx="97">
                  <c:v>-47.630799538767711</c:v>
                </c:pt>
                <c:pt idx="98">
                  <c:v>-47.630799538767711</c:v>
                </c:pt>
                <c:pt idx="99">
                  <c:v>-47.536207410760689</c:v>
                </c:pt>
                <c:pt idx="100">
                  <c:v>-43.014829944656412</c:v>
                </c:pt>
                <c:pt idx="101">
                  <c:v>-38.631125157538584</c:v>
                </c:pt>
                <c:pt idx="102">
                  <c:v>-30.562598883097014</c:v>
                </c:pt>
                <c:pt idx="103">
                  <c:v>-23.429287672494539</c:v>
                </c:pt>
                <c:pt idx="104">
                  <c:v>-17.235108057816038</c:v>
                </c:pt>
                <c:pt idx="105">
                  <c:v>-11.983861074025086</c:v>
                </c:pt>
                <c:pt idx="106">
                  <c:v>-7.679262588079367</c:v>
                </c:pt>
                <c:pt idx="107">
                  <c:v>-4.324969010678875</c:v>
                </c:pt>
                <c:pt idx="108">
                  <c:v>-1.9245983724272173</c:v>
                </c:pt>
                <c:pt idx="109">
                  <c:v>-0.48174674648731802</c:v>
                </c:pt>
                <c:pt idx="110">
                  <c:v>-0.12051132004082112</c:v>
                </c:pt>
                <c:pt idx="111">
                  <c:v>-4.8233780717959821E-5</c:v>
                </c:pt>
                <c:pt idx="112">
                  <c:v>3.0580037315884086E-12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Vorlage!$O$2:$O$3</c:f>
              <c:strCache>
                <c:ptCount val="1"/>
                <c:pt idx="0">
                  <c:v>STV M (kNm/m)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Vorlage!$J$4:$J$760</c:f>
              <c:numCache>
                <c:formatCode>General</c:formatCode>
                <c:ptCount val="757"/>
                <c:pt idx="0">
                  <c:v>0</c:v>
                </c:pt>
                <c:pt idx="1">
                  <c:v>5.0000000000000001E-4</c:v>
                </c:pt>
                <c:pt idx="2">
                  <c:v>2.5000000000000001E-2</c:v>
                </c:pt>
                <c:pt idx="3">
                  <c:v>0.05</c:v>
                </c:pt>
                <c:pt idx="4">
                  <c:v>0.1</c:v>
                </c:pt>
                <c:pt idx="5">
                  <c:v>0.15000000000000002</c:v>
                </c:pt>
                <c:pt idx="6">
                  <c:v>0.2</c:v>
                </c:pt>
                <c:pt idx="7">
                  <c:v>0.25</c:v>
                </c:pt>
                <c:pt idx="8">
                  <c:v>0.30000000000000004</c:v>
                </c:pt>
                <c:pt idx="9">
                  <c:v>0.35000000000000003</c:v>
                </c:pt>
                <c:pt idx="10">
                  <c:v>0.4</c:v>
                </c:pt>
                <c:pt idx="11">
                  <c:v>0.45</c:v>
                </c:pt>
                <c:pt idx="12">
                  <c:v>0.47500000000000003</c:v>
                </c:pt>
                <c:pt idx="13">
                  <c:v>0.49950000000000006</c:v>
                </c:pt>
                <c:pt idx="14">
                  <c:v>0.5</c:v>
                </c:pt>
                <c:pt idx="15">
                  <c:v>0.50249999999999995</c:v>
                </c:pt>
                <c:pt idx="16">
                  <c:v>0.625</c:v>
                </c:pt>
                <c:pt idx="17">
                  <c:v>0.75</c:v>
                </c:pt>
                <c:pt idx="18">
                  <c:v>1</c:v>
                </c:pt>
                <c:pt idx="19">
                  <c:v>1.25</c:v>
                </c:pt>
                <c:pt idx="20">
                  <c:v>1.5</c:v>
                </c:pt>
                <c:pt idx="21">
                  <c:v>1.75</c:v>
                </c:pt>
                <c:pt idx="22">
                  <c:v>2</c:v>
                </c:pt>
                <c:pt idx="23">
                  <c:v>2.25</c:v>
                </c:pt>
                <c:pt idx="24">
                  <c:v>2.5</c:v>
                </c:pt>
                <c:pt idx="25">
                  <c:v>2.75</c:v>
                </c:pt>
                <c:pt idx="26">
                  <c:v>2.875</c:v>
                </c:pt>
                <c:pt idx="27">
                  <c:v>2.9975000000000001</c:v>
                </c:pt>
                <c:pt idx="28">
                  <c:v>3</c:v>
                </c:pt>
                <c:pt idx="29">
                  <c:v>3.0024999999999999</c:v>
                </c:pt>
                <c:pt idx="30">
                  <c:v>3.125</c:v>
                </c:pt>
                <c:pt idx="31">
                  <c:v>3.25</c:v>
                </c:pt>
                <c:pt idx="32">
                  <c:v>3.5</c:v>
                </c:pt>
                <c:pt idx="33">
                  <c:v>3.75</c:v>
                </c:pt>
                <c:pt idx="34">
                  <c:v>4</c:v>
                </c:pt>
                <c:pt idx="35">
                  <c:v>4.25</c:v>
                </c:pt>
                <c:pt idx="36">
                  <c:v>4.5</c:v>
                </c:pt>
                <c:pt idx="37">
                  <c:v>4.75</c:v>
                </c:pt>
                <c:pt idx="38">
                  <c:v>5</c:v>
                </c:pt>
                <c:pt idx="39">
                  <c:v>5.25</c:v>
                </c:pt>
                <c:pt idx="40">
                  <c:v>5.375</c:v>
                </c:pt>
                <c:pt idx="41">
                  <c:v>5.4975000000000005</c:v>
                </c:pt>
                <c:pt idx="42">
                  <c:v>5.5</c:v>
                </c:pt>
                <c:pt idx="43">
                  <c:v>5.5</c:v>
                </c:pt>
                <c:pt idx="44">
                  <c:v>5.5</c:v>
                </c:pt>
                <c:pt idx="45">
                  <c:v>5.5</c:v>
                </c:pt>
                <c:pt idx="46">
                  <c:v>5.5</c:v>
                </c:pt>
                <c:pt idx="47">
                  <c:v>5.5</c:v>
                </c:pt>
                <c:pt idx="48">
                  <c:v>5.5</c:v>
                </c:pt>
                <c:pt idx="49">
                  <c:v>5.5</c:v>
                </c:pt>
                <c:pt idx="50">
                  <c:v>5.5</c:v>
                </c:pt>
                <c:pt idx="51">
                  <c:v>5.5</c:v>
                </c:pt>
                <c:pt idx="52">
                  <c:v>5.5</c:v>
                </c:pt>
                <c:pt idx="53">
                  <c:v>5.5</c:v>
                </c:pt>
                <c:pt idx="54">
                  <c:v>5.5</c:v>
                </c:pt>
                <c:pt idx="55">
                  <c:v>5.5</c:v>
                </c:pt>
                <c:pt idx="56">
                  <c:v>5.5</c:v>
                </c:pt>
                <c:pt idx="57">
                  <c:v>5.5</c:v>
                </c:pt>
                <c:pt idx="58">
                  <c:v>5.5</c:v>
                </c:pt>
                <c:pt idx="59">
                  <c:v>5.5</c:v>
                </c:pt>
                <c:pt idx="60">
                  <c:v>5.5</c:v>
                </c:pt>
                <c:pt idx="61">
                  <c:v>5.5</c:v>
                </c:pt>
                <c:pt idx="62">
                  <c:v>5.5</c:v>
                </c:pt>
                <c:pt idx="63">
                  <c:v>5.5</c:v>
                </c:pt>
                <c:pt idx="64">
                  <c:v>5.5</c:v>
                </c:pt>
                <c:pt idx="65">
                  <c:v>5.5</c:v>
                </c:pt>
                <c:pt idx="66">
                  <c:v>5.5</c:v>
                </c:pt>
                <c:pt idx="67">
                  <c:v>5.5</c:v>
                </c:pt>
                <c:pt idx="68">
                  <c:v>5.5</c:v>
                </c:pt>
                <c:pt idx="69">
                  <c:v>5.5</c:v>
                </c:pt>
                <c:pt idx="70">
                  <c:v>5.5</c:v>
                </c:pt>
                <c:pt idx="71">
                  <c:v>5.5</c:v>
                </c:pt>
                <c:pt idx="72">
                  <c:v>5.5</c:v>
                </c:pt>
                <c:pt idx="73">
                  <c:v>5.5</c:v>
                </c:pt>
                <c:pt idx="74">
                  <c:v>5.5</c:v>
                </c:pt>
                <c:pt idx="75">
                  <c:v>5.5</c:v>
                </c:pt>
                <c:pt idx="76">
                  <c:v>5.5</c:v>
                </c:pt>
                <c:pt idx="77">
                  <c:v>5.5</c:v>
                </c:pt>
                <c:pt idx="78">
                  <c:v>5.5</c:v>
                </c:pt>
                <c:pt idx="79">
                  <c:v>5.5</c:v>
                </c:pt>
                <c:pt idx="80">
                  <c:v>5.5</c:v>
                </c:pt>
                <c:pt idx="81">
                  <c:v>5.5</c:v>
                </c:pt>
                <c:pt idx="82">
                  <c:v>5.5</c:v>
                </c:pt>
                <c:pt idx="83">
                  <c:v>5.5</c:v>
                </c:pt>
                <c:pt idx="84">
                  <c:v>5.5</c:v>
                </c:pt>
                <c:pt idx="85">
                  <c:v>5.5</c:v>
                </c:pt>
                <c:pt idx="86">
                  <c:v>5.5</c:v>
                </c:pt>
                <c:pt idx="87">
                  <c:v>5.5</c:v>
                </c:pt>
                <c:pt idx="88">
                  <c:v>5.5</c:v>
                </c:pt>
                <c:pt idx="89">
                  <c:v>5.5</c:v>
                </c:pt>
                <c:pt idx="90">
                  <c:v>5.5</c:v>
                </c:pt>
                <c:pt idx="91">
                  <c:v>5.5</c:v>
                </c:pt>
                <c:pt idx="92">
                  <c:v>5.5</c:v>
                </c:pt>
                <c:pt idx="93">
                  <c:v>5.5</c:v>
                </c:pt>
                <c:pt idx="94">
                  <c:v>5.5</c:v>
                </c:pt>
                <c:pt idx="95">
                  <c:v>5.5</c:v>
                </c:pt>
                <c:pt idx="96">
                  <c:v>5.5</c:v>
                </c:pt>
                <c:pt idx="97">
                  <c:v>5.5</c:v>
                </c:pt>
                <c:pt idx="98">
                  <c:v>5.5</c:v>
                </c:pt>
                <c:pt idx="99">
                  <c:v>5.5004999999999997</c:v>
                </c:pt>
                <c:pt idx="100">
                  <c:v>5.5250000000000004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5.9749999999999996</c:v>
                </c:pt>
                <c:pt idx="111">
                  <c:v>5.9995000000000003</c:v>
                </c:pt>
                <c:pt idx="112">
                  <c:v>6</c:v>
                </c:pt>
              </c:numCache>
            </c:numRef>
          </c:xVal>
          <c:yVal>
            <c:numRef>
              <c:f>Vorlage!$O$4:$O$760</c:f>
              <c:numCache>
                <c:formatCode>0</c:formatCode>
                <c:ptCount val="757"/>
                <c:pt idx="0">
                  <c:v>-</c:v>
                </c:pt>
                <c:pt idx="1">
                  <c:v>-3.1250578703703705E-5</c:v>
                </c:pt>
                <c:pt idx="2">
                  <c:v>-7.8197337962962979E-2</c:v>
                </c:pt>
                <c:pt idx="3">
                  <c:v>-0.31307870370370378</c:v>
                </c:pt>
                <c:pt idx="4">
                  <c:v>-1.25462962962963</c:v>
                </c:pt>
                <c:pt idx="5">
                  <c:v>-2.8281250000000004</c:v>
                </c:pt>
                <c:pt idx="6">
                  <c:v>-5.0370370370370381</c:v>
                </c:pt>
                <c:pt idx="7">
                  <c:v>-7.8848379629629628</c:v>
                </c:pt>
                <c:pt idx="8">
                  <c:v>-11.375000000000005</c:v>
                </c:pt>
                <c:pt idx="9">
                  <c:v>-15.510995370370372</c:v>
                </c:pt>
                <c:pt idx="10">
                  <c:v>-20.296296296296301</c:v>
                </c:pt>
                <c:pt idx="11">
                  <c:v>-25.734375</c:v>
                </c:pt>
                <c:pt idx="12">
                  <c:v>-28.699291087962965</c:v>
                </c:pt>
                <c:pt idx="13">
                  <c:v>-31.764500578125009</c:v>
                </c:pt>
                <c:pt idx="14">
                  <c:v>-31.828703703703706</c:v>
                </c:pt>
                <c:pt idx="15">
                  <c:v>-31.317375651041676</c:v>
                </c:pt>
                <c:pt idx="16">
                  <c:v>-8.291739004629628</c:v>
                </c:pt>
                <c:pt idx="17">
                  <c:v>11.067708333333334</c:v>
                </c:pt>
                <c:pt idx="18">
                  <c:v>37.037037037037031</c:v>
                </c:pt>
                <c:pt idx="19">
                  <c:v>45.64525462962964</c:v>
                </c:pt>
                <c:pt idx="20">
                  <c:v>36.458333333333336</c:v>
                </c:pt>
                <c:pt idx="21">
                  <c:v>9.0422453703703614</c:v>
                </c:pt>
                <c:pt idx="22">
                  <c:v>-37.037037037037031</c:v>
                </c:pt>
                <c:pt idx="23">
                  <c:v>-102.21354166666667</c:v>
                </c:pt>
                <c:pt idx="24">
                  <c:v>-186.92129629629639</c:v>
                </c:pt>
                <c:pt idx="25">
                  <c:v>-291.59432870370375</c:v>
                </c:pt>
                <c:pt idx="26">
                  <c:v>-351.55345775462956</c:v>
                </c:pt>
                <c:pt idx="27">
                  <c:v>-415.31354159432868</c:v>
                </c:pt>
                <c:pt idx="28">
                  <c:v>-416.66666666666669</c:v>
                </c:pt>
                <c:pt idx="29">
                  <c:v>-415.18854173900468</c:v>
                </c:pt>
                <c:pt idx="30">
                  <c:v>-345.32154224537027</c:v>
                </c:pt>
                <c:pt idx="31">
                  <c:v>-279.23900462962956</c:v>
                </c:pt>
                <c:pt idx="32">
                  <c:v>-163.07870370370378</c:v>
                </c:pt>
                <c:pt idx="33">
                  <c:v>-68.619791666666671</c:v>
                </c:pt>
                <c:pt idx="34">
                  <c:v>3.7037037037037712</c:v>
                </c:pt>
                <c:pt idx="35">
                  <c:v>53.457754629629562</c:v>
                </c:pt>
                <c:pt idx="36">
                  <c:v>80.208333333333329</c:v>
                </c:pt>
                <c:pt idx="37">
                  <c:v>83.521412037037109</c:v>
                </c:pt>
                <c:pt idx="38">
                  <c:v>62.962962962962898</c:v>
                </c:pt>
                <c:pt idx="39">
                  <c:v>18.098958333333332</c:v>
                </c:pt>
                <c:pt idx="40">
                  <c:v>-13.583260995370438</c:v>
                </c:pt>
                <c:pt idx="41">
                  <c:v>-50.684707682291751</c:v>
                </c:pt>
                <c:pt idx="42">
                  <c:v>-51.504629629629562</c:v>
                </c:pt>
                <c:pt idx="43">
                  <c:v>-51.504629629629562</c:v>
                </c:pt>
                <c:pt idx="44">
                  <c:v>-51.504629629629562</c:v>
                </c:pt>
                <c:pt idx="45">
                  <c:v>-51.504629629629562</c:v>
                </c:pt>
                <c:pt idx="46">
                  <c:v>-51.504629629629562</c:v>
                </c:pt>
                <c:pt idx="47">
                  <c:v>-51.504629629629562</c:v>
                </c:pt>
                <c:pt idx="48">
                  <c:v>-51.504629629629562</c:v>
                </c:pt>
                <c:pt idx="49">
                  <c:v>-51.504629629629562</c:v>
                </c:pt>
                <c:pt idx="50">
                  <c:v>-51.504629629629562</c:v>
                </c:pt>
                <c:pt idx="51">
                  <c:v>-51.504629629629562</c:v>
                </c:pt>
                <c:pt idx="52">
                  <c:v>-51.504629629629562</c:v>
                </c:pt>
                <c:pt idx="53">
                  <c:v>-51.504629629629562</c:v>
                </c:pt>
                <c:pt idx="54">
                  <c:v>-51.504629629629562</c:v>
                </c:pt>
                <c:pt idx="55">
                  <c:v>-51.504629629629562</c:v>
                </c:pt>
                <c:pt idx="56">
                  <c:v>-51.504629629629562</c:v>
                </c:pt>
                <c:pt idx="57">
                  <c:v>-51.504629629629562</c:v>
                </c:pt>
                <c:pt idx="58">
                  <c:v>-51.504629629629562</c:v>
                </c:pt>
                <c:pt idx="59">
                  <c:v>-51.504629629629562</c:v>
                </c:pt>
                <c:pt idx="60">
                  <c:v>-51.504629629629562</c:v>
                </c:pt>
                <c:pt idx="61">
                  <c:v>-51.504629629629562</c:v>
                </c:pt>
                <c:pt idx="62">
                  <c:v>-51.504629629629562</c:v>
                </c:pt>
                <c:pt idx="63">
                  <c:v>-51.504629629629562</c:v>
                </c:pt>
                <c:pt idx="64">
                  <c:v>-51.504629629629562</c:v>
                </c:pt>
                <c:pt idx="65">
                  <c:v>-51.504629629629562</c:v>
                </c:pt>
                <c:pt idx="66">
                  <c:v>-51.504629629629562</c:v>
                </c:pt>
                <c:pt idx="67">
                  <c:v>-51.504629629629562</c:v>
                </c:pt>
                <c:pt idx="68">
                  <c:v>-51.504629629629562</c:v>
                </c:pt>
                <c:pt idx="69">
                  <c:v>-51.504629629629562</c:v>
                </c:pt>
                <c:pt idx="70">
                  <c:v>-51.504629629629562</c:v>
                </c:pt>
                <c:pt idx="71">
                  <c:v>-51.504629629629562</c:v>
                </c:pt>
                <c:pt idx="72">
                  <c:v>-51.504629629629562</c:v>
                </c:pt>
                <c:pt idx="73">
                  <c:v>-51.504629629629562</c:v>
                </c:pt>
                <c:pt idx="74">
                  <c:v>-51.504629629629562</c:v>
                </c:pt>
                <c:pt idx="75">
                  <c:v>-51.504629629629562</c:v>
                </c:pt>
                <c:pt idx="76">
                  <c:v>-51.504629629629562</c:v>
                </c:pt>
                <c:pt idx="77">
                  <c:v>-51.504629629629562</c:v>
                </c:pt>
                <c:pt idx="78">
                  <c:v>-51.504629629629562</c:v>
                </c:pt>
                <c:pt idx="79">
                  <c:v>-51.504629629629562</c:v>
                </c:pt>
                <c:pt idx="80">
                  <c:v>-51.504629629629562</c:v>
                </c:pt>
                <c:pt idx="81">
                  <c:v>-51.504629629629562</c:v>
                </c:pt>
                <c:pt idx="82">
                  <c:v>-51.504629629629562</c:v>
                </c:pt>
                <c:pt idx="83">
                  <c:v>-51.504629629629562</c:v>
                </c:pt>
                <c:pt idx="84">
                  <c:v>-51.504629629629562</c:v>
                </c:pt>
                <c:pt idx="85">
                  <c:v>-51.504629629629562</c:v>
                </c:pt>
                <c:pt idx="86">
                  <c:v>-51.504629629629562</c:v>
                </c:pt>
                <c:pt idx="87">
                  <c:v>-51.504629629629562</c:v>
                </c:pt>
                <c:pt idx="88">
                  <c:v>-51.504629629629562</c:v>
                </c:pt>
                <c:pt idx="89">
                  <c:v>-51.504629629629562</c:v>
                </c:pt>
                <c:pt idx="90">
                  <c:v>-51.504629629629562</c:v>
                </c:pt>
                <c:pt idx="91">
                  <c:v>-51.504629629629562</c:v>
                </c:pt>
                <c:pt idx="92">
                  <c:v>-51.504629629629562</c:v>
                </c:pt>
                <c:pt idx="93">
                  <c:v>-51.504629629629562</c:v>
                </c:pt>
                <c:pt idx="94">
                  <c:v>-51.504629629629562</c:v>
                </c:pt>
                <c:pt idx="95">
                  <c:v>-51.504629629629562</c:v>
                </c:pt>
                <c:pt idx="96">
                  <c:v>-51.504629629629562</c:v>
                </c:pt>
                <c:pt idx="97">
                  <c:v>-51.504629629629562</c:v>
                </c:pt>
                <c:pt idx="98">
                  <c:v>-51.504629629629562</c:v>
                </c:pt>
                <c:pt idx="99">
                  <c:v>-51.402249421875148</c:v>
                </c:pt>
                <c:pt idx="100">
                  <c:v>-46.509042245370857</c:v>
                </c:pt>
                <c:pt idx="101">
                  <c:v>-41.765624999999488</c:v>
                </c:pt>
                <c:pt idx="102">
                  <c:v>-33.037037037037294</c:v>
                </c:pt>
                <c:pt idx="103">
                  <c:v>-25.322337962962706</c:v>
                </c:pt>
                <c:pt idx="104">
                  <c:v>-18.625000000000512</c:v>
                </c:pt>
                <c:pt idx="105">
                  <c:v>-12.948495370370438</c:v>
                </c:pt>
                <c:pt idx="106">
                  <c:v>-8.2962962962963243</c:v>
                </c:pt>
                <c:pt idx="107">
                  <c:v>-4.6718750000001892</c:v>
                </c:pt>
                <c:pt idx="108">
                  <c:v>-2.0787037037035816</c:v>
                </c:pt>
                <c:pt idx="109">
                  <c:v>-0.52025462962948643</c:v>
                </c:pt>
                <c:pt idx="110">
                  <c:v>-0.13013599537062723</c:v>
                </c:pt>
                <c:pt idx="111">
                  <c:v>-5.2082754412670816E-5</c:v>
                </c:pt>
                <c:pt idx="112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8198016"/>
        <c:axId val="518199552"/>
      </c:scatterChart>
      <c:valAx>
        <c:axId val="518198016"/>
        <c:scaling>
          <c:orientation val="minMax"/>
          <c:min val="0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518199552"/>
        <c:crosses val="autoZero"/>
        <c:crossBetween val="midCat"/>
      </c:valAx>
      <c:valAx>
        <c:axId val="518199552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5181980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7313890453153391"/>
          <c:y val="0.64241213750720183"/>
          <c:w val="0.28467403282268861"/>
          <c:h val="0.2674569489789386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C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200"/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Vorlage!$N$2:$N$3</c:f>
              <c:strCache>
                <c:ptCount val="1"/>
                <c:pt idx="0">
                  <c:v>Querkraft Q (kN/m)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xVal>
            <c:numRef>
              <c:f>Vorlage!$J$4:$J$760</c:f>
              <c:numCache>
                <c:formatCode>General</c:formatCode>
                <c:ptCount val="757"/>
                <c:pt idx="0">
                  <c:v>0</c:v>
                </c:pt>
                <c:pt idx="1">
                  <c:v>5.0000000000000001E-4</c:v>
                </c:pt>
                <c:pt idx="2">
                  <c:v>2.5000000000000001E-2</c:v>
                </c:pt>
                <c:pt idx="3">
                  <c:v>0.05</c:v>
                </c:pt>
                <c:pt idx="4">
                  <c:v>0.1</c:v>
                </c:pt>
                <c:pt idx="5">
                  <c:v>0.15000000000000002</c:v>
                </c:pt>
                <c:pt idx="6">
                  <c:v>0.2</c:v>
                </c:pt>
                <c:pt idx="7">
                  <c:v>0.25</c:v>
                </c:pt>
                <c:pt idx="8">
                  <c:v>0.30000000000000004</c:v>
                </c:pt>
                <c:pt idx="9">
                  <c:v>0.35000000000000003</c:v>
                </c:pt>
                <c:pt idx="10">
                  <c:v>0.4</c:v>
                </c:pt>
                <c:pt idx="11">
                  <c:v>0.45</c:v>
                </c:pt>
                <c:pt idx="12">
                  <c:v>0.47500000000000003</c:v>
                </c:pt>
                <c:pt idx="13">
                  <c:v>0.49950000000000006</c:v>
                </c:pt>
                <c:pt idx="14">
                  <c:v>0.5</c:v>
                </c:pt>
                <c:pt idx="15">
                  <c:v>0.50249999999999995</c:v>
                </c:pt>
                <c:pt idx="16">
                  <c:v>0.625</c:v>
                </c:pt>
                <c:pt idx="17">
                  <c:v>0.75</c:v>
                </c:pt>
                <c:pt idx="18">
                  <c:v>1</c:v>
                </c:pt>
                <c:pt idx="19">
                  <c:v>1.25</c:v>
                </c:pt>
                <c:pt idx="20">
                  <c:v>1.5</c:v>
                </c:pt>
                <c:pt idx="21">
                  <c:v>1.75</c:v>
                </c:pt>
                <c:pt idx="22">
                  <c:v>2</c:v>
                </c:pt>
                <c:pt idx="23">
                  <c:v>2.25</c:v>
                </c:pt>
                <c:pt idx="24">
                  <c:v>2.5</c:v>
                </c:pt>
                <c:pt idx="25">
                  <c:v>2.75</c:v>
                </c:pt>
                <c:pt idx="26">
                  <c:v>2.875</c:v>
                </c:pt>
                <c:pt idx="27">
                  <c:v>2.9975000000000001</c:v>
                </c:pt>
                <c:pt idx="28">
                  <c:v>3</c:v>
                </c:pt>
                <c:pt idx="29">
                  <c:v>3.0024999999999999</c:v>
                </c:pt>
                <c:pt idx="30">
                  <c:v>3.125</c:v>
                </c:pt>
                <c:pt idx="31">
                  <c:v>3.25</c:v>
                </c:pt>
                <c:pt idx="32">
                  <c:v>3.5</c:v>
                </c:pt>
                <c:pt idx="33">
                  <c:v>3.75</c:v>
                </c:pt>
                <c:pt idx="34">
                  <c:v>4</c:v>
                </c:pt>
                <c:pt idx="35">
                  <c:v>4.25</c:v>
                </c:pt>
                <c:pt idx="36">
                  <c:v>4.5</c:v>
                </c:pt>
                <c:pt idx="37">
                  <c:v>4.75</c:v>
                </c:pt>
                <c:pt idx="38">
                  <c:v>5</c:v>
                </c:pt>
                <c:pt idx="39">
                  <c:v>5.25</c:v>
                </c:pt>
                <c:pt idx="40">
                  <c:v>5.375</c:v>
                </c:pt>
                <c:pt idx="41">
                  <c:v>5.4975000000000005</c:v>
                </c:pt>
                <c:pt idx="42">
                  <c:v>5.5</c:v>
                </c:pt>
                <c:pt idx="43">
                  <c:v>5.5</c:v>
                </c:pt>
                <c:pt idx="44">
                  <c:v>5.5</c:v>
                </c:pt>
                <c:pt idx="45">
                  <c:v>5.5</c:v>
                </c:pt>
                <c:pt idx="46">
                  <c:v>5.5</c:v>
                </c:pt>
                <c:pt idx="47">
                  <c:v>5.5</c:v>
                </c:pt>
                <c:pt idx="48">
                  <c:v>5.5</c:v>
                </c:pt>
                <c:pt idx="49">
                  <c:v>5.5</c:v>
                </c:pt>
                <c:pt idx="50">
                  <c:v>5.5</c:v>
                </c:pt>
                <c:pt idx="51">
                  <c:v>5.5</c:v>
                </c:pt>
                <c:pt idx="52">
                  <c:v>5.5</c:v>
                </c:pt>
                <c:pt idx="53">
                  <c:v>5.5</c:v>
                </c:pt>
                <c:pt idx="54">
                  <c:v>5.5</c:v>
                </c:pt>
                <c:pt idx="55">
                  <c:v>5.5</c:v>
                </c:pt>
                <c:pt idx="56">
                  <c:v>5.5</c:v>
                </c:pt>
                <c:pt idx="57">
                  <c:v>5.5</c:v>
                </c:pt>
                <c:pt idx="58">
                  <c:v>5.5</c:v>
                </c:pt>
                <c:pt idx="59">
                  <c:v>5.5</c:v>
                </c:pt>
                <c:pt idx="60">
                  <c:v>5.5</c:v>
                </c:pt>
                <c:pt idx="61">
                  <c:v>5.5</c:v>
                </c:pt>
                <c:pt idx="62">
                  <c:v>5.5</c:v>
                </c:pt>
                <c:pt idx="63">
                  <c:v>5.5</c:v>
                </c:pt>
                <c:pt idx="64">
                  <c:v>5.5</c:v>
                </c:pt>
                <c:pt idx="65">
                  <c:v>5.5</c:v>
                </c:pt>
                <c:pt idx="66">
                  <c:v>5.5</c:v>
                </c:pt>
                <c:pt idx="67">
                  <c:v>5.5</c:v>
                </c:pt>
                <c:pt idx="68">
                  <c:v>5.5</c:v>
                </c:pt>
                <c:pt idx="69">
                  <c:v>5.5</c:v>
                </c:pt>
                <c:pt idx="70">
                  <c:v>5.5</c:v>
                </c:pt>
                <c:pt idx="71">
                  <c:v>5.5</c:v>
                </c:pt>
                <c:pt idx="72">
                  <c:v>5.5</c:v>
                </c:pt>
                <c:pt idx="73">
                  <c:v>5.5</c:v>
                </c:pt>
                <c:pt idx="74">
                  <c:v>5.5</c:v>
                </c:pt>
                <c:pt idx="75">
                  <c:v>5.5</c:v>
                </c:pt>
                <c:pt idx="76">
                  <c:v>5.5</c:v>
                </c:pt>
                <c:pt idx="77">
                  <c:v>5.5</c:v>
                </c:pt>
                <c:pt idx="78">
                  <c:v>5.5</c:v>
                </c:pt>
                <c:pt idx="79">
                  <c:v>5.5</c:v>
                </c:pt>
                <c:pt idx="80">
                  <c:v>5.5</c:v>
                </c:pt>
                <c:pt idx="81">
                  <c:v>5.5</c:v>
                </c:pt>
                <c:pt idx="82">
                  <c:v>5.5</c:v>
                </c:pt>
                <c:pt idx="83">
                  <c:v>5.5</c:v>
                </c:pt>
                <c:pt idx="84">
                  <c:v>5.5</c:v>
                </c:pt>
                <c:pt idx="85">
                  <c:v>5.5</c:v>
                </c:pt>
                <c:pt idx="86">
                  <c:v>5.5</c:v>
                </c:pt>
                <c:pt idx="87">
                  <c:v>5.5</c:v>
                </c:pt>
                <c:pt idx="88">
                  <c:v>5.5</c:v>
                </c:pt>
                <c:pt idx="89">
                  <c:v>5.5</c:v>
                </c:pt>
                <c:pt idx="90">
                  <c:v>5.5</c:v>
                </c:pt>
                <c:pt idx="91">
                  <c:v>5.5</c:v>
                </c:pt>
                <c:pt idx="92">
                  <c:v>5.5</c:v>
                </c:pt>
                <c:pt idx="93">
                  <c:v>5.5</c:v>
                </c:pt>
                <c:pt idx="94">
                  <c:v>5.5</c:v>
                </c:pt>
                <c:pt idx="95">
                  <c:v>5.5</c:v>
                </c:pt>
                <c:pt idx="96">
                  <c:v>5.5</c:v>
                </c:pt>
                <c:pt idx="97">
                  <c:v>5.5</c:v>
                </c:pt>
                <c:pt idx="98">
                  <c:v>5.5</c:v>
                </c:pt>
                <c:pt idx="99">
                  <c:v>5.5004999999999997</c:v>
                </c:pt>
                <c:pt idx="100">
                  <c:v>5.5250000000000004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5.9749999999999996</c:v>
                </c:pt>
                <c:pt idx="111">
                  <c:v>5.9995000000000003</c:v>
                </c:pt>
                <c:pt idx="112">
                  <c:v>6</c:v>
                </c:pt>
              </c:numCache>
            </c:numRef>
          </c:xVal>
          <c:yVal>
            <c:numRef>
              <c:f>Vorlage!$N$4:$N$760</c:f>
              <c:numCache>
                <c:formatCode>0</c:formatCode>
                <c:ptCount val="757"/>
                <c:pt idx="0">
                  <c:v>4.1133077198272879E-14</c:v>
                </c:pt>
                <c:pt idx="1">
                  <c:v>-0.10072688130690778</c:v>
                </c:pt>
                <c:pt idx="2">
                  <c:v>-5.0504996826396331</c:v>
                </c:pt>
                <c:pt idx="3">
                  <c:v>-10.129888020306513</c:v>
                </c:pt>
                <c:pt idx="4">
                  <c:v>-20.375319825848646</c:v>
                </c:pt>
                <c:pt idx="5">
                  <c:v>-30.736233339715813</c:v>
                </c:pt>
                <c:pt idx="6">
                  <c:v>-41.212466615042004</c:v>
                </c:pt>
                <c:pt idx="7">
                  <c:v>-51.803707098881809</c:v>
                </c:pt>
                <c:pt idx="8">
                  <c:v>-62.50944033150062</c:v>
                </c:pt>
                <c:pt idx="9">
                  <c:v>-73.328898082652344</c:v>
                </c:pt>
                <c:pt idx="10">
                  <c:v>-84.261005927405591</c:v>
                </c:pt>
                <c:pt idx="11">
                  <c:v>-95.304330265323429</c:v>
                </c:pt>
                <c:pt idx="12">
                  <c:v>-100.86713924429853</c:v>
                </c:pt>
                <c:pt idx="13">
                  <c:v>-106.34496364170219</c:v>
                </c:pt>
                <c:pt idx="14">
                  <c:v>-106.45702478830093</c:v>
                </c:pt>
                <c:pt idx="15">
                  <c:v>226.31584221214686</c:v>
                </c:pt>
                <c:pt idx="16">
                  <c:v>198.52989729322692</c:v>
                </c:pt>
                <c:pt idx="17">
                  <c:v>169.53014397957</c:v>
                </c:pt>
                <c:pt idx="18">
                  <c:v>109.46499406426263</c:v>
                </c:pt>
                <c:pt idx="19">
                  <c:v>46.179756136881622</c:v>
                </c:pt>
                <c:pt idx="20">
                  <c:v>-21.160055135315748</c:v>
                </c:pt>
                <c:pt idx="21">
                  <c:v>-93.528193228898658</c:v>
                </c:pt>
                <c:pt idx="22">
                  <c:v>-171.83108489493392</c:v>
                </c:pt>
                <c:pt idx="23">
                  <c:v>-256.68588008927424</c:v>
                </c:pt>
                <c:pt idx="24">
                  <c:v>-348.18048573539869</c:v>
                </c:pt>
                <c:pt idx="25">
                  <c:v>-445.61381689434535</c:v>
                </c:pt>
                <c:pt idx="26">
                  <c:v>-496.05423178062097</c:v>
                </c:pt>
                <c:pt idx="27">
                  <c:v>-546.18848067510487</c:v>
                </c:pt>
                <c:pt idx="28">
                  <c:v>-547.21612879224779</c:v>
                </c:pt>
                <c:pt idx="29">
                  <c:v>585.08943913863368</c:v>
                </c:pt>
                <c:pt idx="30">
                  <c:v>534.6617844878607</c:v>
                </c:pt>
                <c:pt idx="31">
                  <c:v>483.33708924180246</c:v>
                </c:pt>
                <c:pt idx="32">
                  <c:v>382.31141894557589</c:v>
                </c:pt>
                <c:pt idx="33">
                  <c:v>284.63678643507103</c:v>
                </c:pt>
                <c:pt idx="34">
                  <c:v>190.73798452662791</c:v>
                </c:pt>
                <c:pt idx="35">
                  <c:v>100.16672937817394</c:v>
                </c:pt>
                <c:pt idx="36">
                  <c:v>11.889272954788973</c:v>
                </c:pt>
                <c:pt idx="37">
                  <c:v>-75.435870053029021</c:v>
                </c:pt>
                <c:pt idx="38">
                  <c:v>-163.1870586670212</c:v>
                </c:pt>
                <c:pt idx="39">
                  <c:v>-252.51155787114399</c:v>
                </c:pt>
                <c:pt idx="40">
                  <c:v>-297.9929750285105</c:v>
                </c:pt>
                <c:pt idx="41">
                  <c:v>-343.12958328600462</c:v>
                </c:pt>
                <c:pt idx="42">
                  <c:v>-344.05638479857447</c:v>
                </c:pt>
                <c:pt idx="43">
                  <c:v>-344.05638479857447</c:v>
                </c:pt>
                <c:pt idx="44">
                  <c:v>-344.05638479857447</c:v>
                </c:pt>
                <c:pt idx="45">
                  <c:v>-344.05638479857447</c:v>
                </c:pt>
                <c:pt idx="46">
                  <c:v>-344.05638479857447</c:v>
                </c:pt>
                <c:pt idx="47">
                  <c:v>-344.05638479857447</c:v>
                </c:pt>
                <c:pt idx="48">
                  <c:v>-344.05638479857447</c:v>
                </c:pt>
                <c:pt idx="49">
                  <c:v>-344.05638479857447</c:v>
                </c:pt>
                <c:pt idx="50">
                  <c:v>-344.05638479857447</c:v>
                </c:pt>
                <c:pt idx="51">
                  <c:v>-344.05638479857447</c:v>
                </c:pt>
                <c:pt idx="52">
                  <c:v>-344.05638479857447</c:v>
                </c:pt>
                <c:pt idx="53">
                  <c:v>-344.05638479857447</c:v>
                </c:pt>
                <c:pt idx="54">
                  <c:v>-344.05638479857447</c:v>
                </c:pt>
                <c:pt idx="55">
                  <c:v>-344.05638479857447</c:v>
                </c:pt>
                <c:pt idx="56">
                  <c:v>-344.05638479857447</c:v>
                </c:pt>
                <c:pt idx="57">
                  <c:v>-344.05638479857447</c:v>
                </c:pt>
                <c:pt idx="58">
                  <c:v>-344.05638479857447</c:v>
                </c:pt>
                <c:pt idx="59">
                  <c:v>-344.05638479857447</c:v>
                </c:pt>
                <c:pt idx="60">
                  <c:v>-344.05638479857447</c:v>
                </c:pt>
                <c:pt idx="61">
                  <c:v>-344.05638479857447</c:v>
                </c:pt>
                <c:pt idx="62">
                  <c:v>-344.05638479857447</c:v>
                </c:pt>
                <c:pt idx="63">
                  <c:v>-344.05638479857447</c:v>
                </c:pt>
                <c:pt idx="64">
                  <c:v>-344.05638479857447</c:v>
                </c:pt>
                <c:pt idx="65">
                  <c:v>-344.05638479857447</c:v>
                </c:pt>
                <c:pt idx="66">
                  <c:v>-344.05638479857447</c:v>
                </c:pt>
                <c:pt idx="67">
                  <c:v>-344.05638479857447</c:v>
                </c:pt>
                <c:pt idx="68">
                  <c:v>-344.05638479857447</c:v>
                </c:pt>
                <c:pt idx="69">
                  <c:v>-344.05638479857447</c:v>
                </c:pt>
                <c:pt idx="70">
                  <c:v>-344.05638479857447</c:v>
                </c:pt>
                <c:pt idx="71">
                  <c:v>-344.05638479857447</c:v>
                </c:pt>
                <c:pt idx="72">
                  <c:v>-344.05638479857447</c:v>
                </c:pt>
                <c:pt idx="73">
                  <c:v>-344.05638479857447</c:v>
                </c:pt>
                <c:pt idx="74">
                  <c:v>-344.05638479857447</c:v>
                </c:pt>
                <c:pt idx="75">
                  <c:v>-344.05638479857447</c:v>
                </c:pt>
                <c:pt idx="76">
                  <c:v>-344.05638479857447</c:v>
                </c:pt>
                <c:pt idx="77">
                  <c:v>-344.05638479857447</c:v>
                </c:pt>
                <c:pt idx="78">
                  <c:v>-344.05638479857447</c:v>
                </c:pt>
                <c:pt idx="79">
                  <c:v>-344.05638479857447</c:v>
                </c:pt>
                <c:pt idx="80">
                  <c:v>-344.05638479857447</c:v>
                </c:pt>
                <c:pt idx="81">
                  <c:v>-344.05638479857447</c:v>
                </c:pt>
                <c:pt idx="82">
                  <c:v>-344.05638479857447</c:v>
                </c:pt>
                <c:pt idx="83">
                  <c:v>-344.05638479857447</c:v>
                </c:pt>
                <c:pt idx="84">
                  <c:v>-344.05638479857447</c:v>
                </c:pt>
                <c:pt idx="85">
                  <c:v>-344.05638479857447</c:v>
                </c:pt>
                <c:pt idx="86">
                  <c:v>-344.05638479857447</c:v>
                </c:pt>
                <c:pt idx="87">
                  <c:v>-344.05638479857447</c:v>
                </c:pt>
                <c:pt idx="88">
                  <c:v>-344.05638479857447</c:v>
                </c:pt>
                <c:pt idx="89">
                  <c:v>-344.05638479857447</c:v>
                </c:pt>
                <c:pt idx="90">
                  <c:v>-344.05638479857447</c:v>
                </c:pt>
                <c:pt idx="91">
                  <c:v>-344.05638479857447</c:v>
                </c:pt>
                <c:pt idx="92">
                  <c:v>-344.05638479857447</c:v>
                </c:pt>
                <c:pt idx="93">
                  <c:v>-344.05638479857447</c:v>
                </c:pt>
                <c:pt idx="94">
                  <c:v>-344.05638479857447</c:v>
                </c:pt>
                <c:pt idx="95">
                  <c:v>-344.05638479857447</c:v>
                </c:pt>
                <c:pt idx="96">
                  <c:v>-344.05638479857447</c:v>
                </c:pt>
                <c:pt idx="97">
                  <c:v>-344.05638479857447</c:v>
                </c:pt>
                <c:pt idx="98">
                  <c:v>-344.05638479857447</c:v>
                </c:pt>
                <c:pt idx="99">
                  <c:v>189.09156203985074</c:v>
                </c:pt>
                <c:pt idx="100">
                  <c:v>179.99703090083858</c:v>
                </c:pt>
                <c:pt idx="101">
                  <c:v>170.69585177309114</c:v>
                </c:pt>
                <c:pt idx="102">
                  <c:v>152.03165585113825</c:v>
                </c:pt>
                <c:pt idx="103">
                  <c:v>133.28774910953726</c:v>
                </c:pt>
                <c:pt idx="104">
                  <c:v>114.4667754716484</c:v>
                </c:pt>
                <c:pt idx="105">
                  <c:v>95.570726228248972</c:v>
                </c:pt>
                <c:pt idx="106">
                  <c:v>76.601032200152119</c:v>
                </c:pt>
                <c:pt idx="107">
                  <c:v>57.558656268918376</c:v>
                </c:pt>
                <c:pt idx="108">
                  <c:v>38.444186268578761</c:v>
                </c:pt>
                <c:pt idx="109">
                  <c:v>19.257928233582042</c:v>
                </c:pt>
                <c:pt idx="110">
                  <c:v>9.6379203117358081</c:v>
                </c:pt>
                <c:pt idx="111">
                  <c:v>0.19293394092271857</c:v>
                </c:pt>
                <c:pt idx="112">
                  <c:v>4.3708214688040361E-12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8211840"/>
        <c:axId val="518217728"/>
      </c:scatterChart>
      <c:valAx>
        <c:axId val="518211840"/>
        <c:scaling>
          <c:orientation val="minMax"/>
          <c:min val="0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518217728"/>
        <c:crosses val="autoZero"/>
        <c:crossBetween val="midCat"/>
      </c:valAx>
      <c:valAx>
        <c:axId val="518217728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51821184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C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200"/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Vorlage!$M$2:$M$3</c:f>
              <c:strCache>
                <c:ptCount val="1"/>
                <c:pt idx="0">
                  <c:v>Sohlpressung q (kPa)</c:v>
                </c:pt>
              </c:strCache>
            </c:strRef>
          </c:tx>
          <c:marker>
            <c:symbol val="none"/>
          </c:marker>
          <c:xVal>
            <c:numRef>
              <c:f>Vorlage!$J$4:$J$760</c:f>
              <c:numCache>
                <c:formatCode>General</c:formatCode>
                <c:ptCount val="757"/>
                <c:pt idx="0">
                  <c:v>0</c:v>
                </c:pt>
                <c:pt idx="1">
                  <c:v>5.0000000000000001E-4</c:v>
                </c:pt>
                <c:pt idx="2">
                  <c:v>2.5000000000000001E-2</c:v>
                </c:pt>
                <c:pt idx="3">
                  <c:v>0.05</c:v>
                </c:pt>
                <c:pt idx="4">
                  <c:v>0.1</c:v>
                </c:pt>
                <c:pt idx="5">
                  <c:v>0.15000000000000002</c:v>
                </c:pt>
                <c:pt idx="6">
                  <c:v>0.2</c:v>
                </c:pt>
                <c:pt idx="7">
                  <c:v>0.25</c:v>
                </c:pt>
                <c:pt idx="8">
                  <c:v>0.30000000000000004</c:v>
                </c:pt>
                <c:pt idx="9">
                  <c:v>0.35000000000000003</c:v>
                </c:pt>
                <c:pt idx="10">
                  <c:v>0.4</c:v>
                </c:pt>
                <c:pt idx="11">
                  <c:v>0.45</c:v>
                </c:pt>
                <c:pt idx="12">
                  <c:v>0.47500000000000003</c:v>
                </c:pt>
                <c:pt idx="13">
                  <c:v>0.49950000000000006</c:v>
                </c:pt>
                <c:pt idx="14">
                  <c:v>0.5</c:v>
                </c:pt>
                <c:pt idx="15">
                  <c:v>0.50249999999999995</c:v>
                </c:pt>
                <c:pt idx="16">
                  <c:v>0.625</c:v>
                </c:pt>
                <c:pt idx="17">
                  <c:v>0.75</c:v>
                </c:pt>
                <c:pt idx="18">
                  <c:v>1</c:v>
                </c:pt>
                <c:pt idx="19">
                  <c:v>1.25</c:v>
                </c:pt>
                <c:pt idx="20">
                  <c:v>1.5</c:v>
                </c:pt>
                <c:pt idx="21">
                  <c:v>1.75</c:v>
                </c:pt>
                <c:pt idx="22">
                  <c:v>2</c:v>
                </c:pt>
                <c:pt idx="23">
                  <c:v>2.25</c:v>
                </c:pt>
                <c:pt idx="24">
                  <c:v>2.5</c:v>
                </c:pt>
                <c:pt idx="25">
                  <c:v>2.75</c:v>
                </c:pt>
                <c:pt idx="26">
                  <c:v>2.875</c:v>
                </c:pt>
                <c:pt idx="27">
                  <c:v>2.9975000000000001</c:v>
                </c:pt>
                <c:pt idx="28">
                  <c:v>3</c:v>
                </c:pt>
                <c:pt idx="29">
                  <c:v>3.0024999999999999</c:v>
                </c:pt>
                <c:pt idx="30">
                  <c:v>3.125</c:v>
                </c:pt>
                <c:pt idx="31">
                  <c:v>3.25</c:v>
                </c:pt>
                <c:pt idx="32">
                  <c:v>3.5</c:v>
                </c:pt>
                <c:pt idx="33">
                  <c:v>3.75</c:v>
                </c:pt>
                <c:pt idx="34">
                  <c:v>4</c:v>
                </c:pt>
                <c:pt idx="35">
                  <c:v>4.25</c:v>
                </c:pt>
                <c:pt idx="36">
                  <c:v>4.5</c:v>
                </c:pt>
                <c:pt idx="37">
                  <c:v>4.75</c:v>
                </c:pt>
                <c:pt idx="38">
                  <c:v>5</c:v>
                </c:pt>
                <c:pt idx="39">
                  <c:v>5.25</c:v>
                </c:pt>
                <c:pt idx="40">
                  <c:v>5.375</c:v>
                </c:pt>
                <c:pt idx="41">
                  <c:v>5.4975000000000005</c:v>
                </c:pt>
                <c:pt idx="42">
                  <c:v>5.5</c:v>
                </c:pt>
                <c:pt idx="43">
                  <c:v>5.5</c:v>
                </c:pt>
                <c:pt idx="44">
                  <c:v>5.5</c:v>
                </c:pt>
                <c:pt idx="45">
                  <c:v>5.5</c:v>
                </c:pt>
                <c:pt idx="46">
                  <c:v>5.5</c:v>
                </c:pt>
                <c:pt idx="47">
                  <c:v>5.5</c:v>
                </c:pt>
                <c:pt idx="48">
                  <c:v>5.5</c:v>
                </c:pt>
                <c:pt idx="49">
                  <c:v>5.5</c:v>
                </c:pt>
                <c:pt idx="50">
                  <c:v>5.5</c:v>
                </c:pt>
                <c:pt idx="51">
                  <c:v>5.5</c:v>
                </c:pt>
                <c:pt idx="52">
                  <c:v>5.5</c:v>
                </c:pt>
                <c:pt idx="53">
                  <c:v>5.5</c:v>
                </c:pt>
                <c:pt idx="54">
                  <c:v>5.5</c:v>
                </c:pt>
                <c:pt idx="55">
                  <c:v>5.5</c:v>
                </c:pt>
                <c:pt idx="56">
                  <c:v>5.5</c:v>
                </c:pt>
                <c:pt idx="57">
                  <c:v>5.5</c:v>
                </c:pt>
                <c:pt idx="58">
                  <c:v>5.5</c:v>
                </c:pt>
                <c:pt idx="59">
                  <c:v>5.5</c:v>
                </c:pt>
                <c:pt idx="60">
                  <c:v>5.5</c:v>
                </c:pt>
                <c:pt idx="61">
                  <c:v>5.5</c:v>
                </c:pt>
                <c:pt idx="62">
                  <c:v>5.5</c:v>
                </c:pt>
                <c:pt idx="63">
                  <c:v>5.5</c:v>
                </c:pt>
                <c:pt idx="64">
                  <c:v>5.5</c:v>
                </c:pt>
                <c:pt idx="65">
                  <c:v>5.5</c:v>
                </c:pt>
                <c:pt idx="66">
                  <c:v>5.5</c:v>
                </c:pt>
                <c:pt idx="67">
                  <c:v>5.5</c:v>
                </c:pt>
                <c:pt idx="68">
                  <c:v>5.5</c:v>
                </c:pt>
                <c:pt idx="69">
                  <c:v>5.5</c:v>
                </c:pt>
                <c:pt idx="70">
                  <c:v>5.5</c:v>
                </c:pt>
                <c:pt idx="71">
                  <c:v>5.5</c:v>
                </c:pt>
                <c:pt idx="72">
                  <c:v>5.5</c:v>
                </c:pt>
                <c:pt idx="73">
                  <c:v>5.5</c:v>
                </c:pt>
                <c:pt idx="74">
                  <c:v>5.5</c:v>
                </c:pt>
                <c:pt idx="75">
                  <c:v>5.5</c:v>
                </c:pt>
                <c:pt idx="76">
                  <c:v>5.5</c:v>
                </c:pt>
                <c:pt idx="77">
                  <c:v>5.5</c:v>
                </c:pt>
                <c:pt idx="78">
                  <c:v>5.5</c:v>
                </c:pt>
                <c:pt idx="79">
                  <c:v>5.5</c:v>
                </c:pt>
                <c:pt idx="80">
                  <c:v>5.5</c:v>
                </c:pt>
                <c:pt idx="81">
                  <c:v>5.5</c:v>
                </c:pt>
                <c:pt idx="82">
                  <c:v>5.5</c:v>
                </c:pt>
                <c:pt idx="83">
                  <c:v>5.5</c:v>
                </c:pt>
                <c:pt idx="84">
                  <c:v>5.5</c:v>
                </c:pt>
                <c:pt idx="85">
                  <c:v>5.5</c:v>
                </c:pt>
                <c:pt idx="86">
                  <c:v>5.5</c:v>
                </c:pt>
                <c:pt idx="87">
                  <c:v>5.5</c:v>
                </c:pt>
                <c:pt idx="88">
                  <c:v>5.5</c:v>
                </c:pt>
                <c:pt idx="89">
                  <c:v>5.5</c:v>
                </c:pt>
                <c:pt idx="90">
                  <c:v>5.5</c:v>
                </c:pt>
                <c:pt idx="91">
                  <c:v>5.5</c:v>
                </c:pt>
                <c:pt idx="92">
                  <c:v>5.5</c:v>
                </c:pt>
                <c:pt idx="93">
                  <c:v>5.5</c:v>
                </c:pt>
                <c:pt idx="94">
                  <c:v>5.5</c:v>
                </c:pt>
                <c:pt idx="95">
                  <c:v>5.5</c:v>
                </c:pt>
                <c:pt idx="96">
                  <c:v>5.5</c:v>
                </c:pt>
                <c:pt idx="97">
                  <c:v>5.5</c:v>
                </c:pt>
                <c:pt idx="98">
                  <c:v>5.5</c:v>
                </c:pt>
                <c:pt idx="99">
                  <c:v>5.5004999999999997</c:v>
                </c:pt>
                <c:pt idx="100">
                  <c:v>5.5250000000000004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5.9749999999999996</c:v>
                </c:pt>
                <c:pt idx="111">
                  <c:v>5.9995000000000003</c:v>
                </c:pt>
                <c:pt idx="112">
                  <c:v>6</c:v>
                </c:pt>
              </c:numCache>
            </c:numRef>
          </c:xVal>
          <c:yVal>
            <c:numRef>
              <c:f>Vorlage!$M$4:$M$760</c:f>
              <c:numCache>
                <c:formatCode>0</c:formatCode>
                <c:ptCount val="757"/>
                <c:pt idx="0">
                  <c:v>-201.44220699751352</c:v>
                </c:pt>
                <c:pt idx="1">
                  <c:v>-201.46531823040664</c:v>
                </c:pt>
                <c:pt idx="2">
                  <c:v>-202.59776607038387</c:v>
                </c:pt>
                <c:pt idx="3">
                  <c:v>-203.75328909086579</c:v>
                </c:pt>
                <c:pt idx="4">
                  <c:v>-206.06379293136794</c:v>
                </c:pt>
                <c:pt idx="5">
                  <c:v>-208.37222471251047</c:v>
                </c:pt>
                <c:pt idx="6">
                  <c:v>-210.67608155769531</c:v>
                </c:pt>
                <c:pt idx="7">
                  <c:v>-212.97184021814152</c:v>
                </c:pt>
                <c:pt idx="8">
                  <c:v>-215.25494579402718</c:v>
                </c:pt>
                <c:pt idx="9">
                  <c:v>-217.51980049612794</c:v>
                </c:pt>
                <c:pt idx="10">
                  <c:v>-219.75975247026844</c:v>
                </c:pt>
                <c:pt idx="11">
                  <c:v>-221.9670847120064</c:v>
                </c:pt>
                <c:pt idx="12">
                  <c:v>-223.05581291639533</c:v>
                </c:pt>
                <c:pt idx="13">
                  <c:v>-224.11158143846487</c:v>
                </c:pt>
                <c:pt idx="14">
                  <c:v>-224.13300410413186</c:v>
                </c:pt>
                <c:pt idx="15">
                  <c:v>-224.24004110165038</c:v>
                </c:pt>
                <c:pt idx="16">
                  <c:v>-229.38409563145848</c:v>
                </c:pt>
                <c:pt idx="17">
                  <c:v>-234.63710035021819</c:v>
                </c:pt>
                <c:pt idx="18">
                  <c:v>-246.23042541876535</c:v>
                </c:pt>
                <c:pt idx="19">
                  <c:v>-260.62071820026642</c:v>
                </c:pt>
                <c:pt idx="20">
                  <c:v>-278.76068556996142</c:v>
                </c:pt>
                <c:pt idx="21">
                  <c:v>-300.80347393015103</c:v>
                </c:pt>
                <c:pt idx="22">
                  <c:v>-326.04707246245641</c:v>
                </c:pt>
                <c:pt idx="23">
                  <c:v>-352.8672077342747</c:v>
                </c:pt>
                <c:pt idx="24">
                  <c:v>-378.64091244217258</c:v>
                </c:pt>
                <c:pt idx="25">
                  <c:v>-399.66577848073558</c:v>
                </c:pt>
                <c:pt idx="26">
                  <c:v>-406.92603752146113</c:v>
                </c:pt>
                <c:pt idx="27">
                  <c:v>-411.03527130522014</c:v>
                </c:pt>
                <c:pt idx="28">
                  <c:v>-411.0829632986821</c:v>
                </c:pt>
                <c:pt idx="29">
                  <c:v>-411.12909959199078</c:v>
                </c:pt>
                <c:pt idx="30">
                  <c:v>-411.62736198880197</c:v>
                </c:pt>
                <c:pt idx="31">
                  <c:v>-409.12773225008959</c:v>
                </c:pt>
                <c:pt idx="32">
                  <c:v>-398.0338402465913</c:v>
                </c:pt>
                <c:pt idx="33">
                  <c:v>-383.09995189563335</c:v>
                </c:pt>
                <c:pt idx="34">
                  <c:v>-368.40848036439615</c:v>
                </c:pt>
                <c:pt idx="35">
                  <c:v>-356.86921117598956</c:v>
                </c:pt>
                <c:pt idx="36">
                  <c:v>-350.26278221989423</c:v>
                </c:pt>
                <c:pt idx="37">
                  <c:v>-349.27509219732843</c:v>
                </c:pt>
                <c:pt idx="38">
                  <c:v>-353.5171701842379</c:v>
                </c:pt>
                <c:pt idx="39">
                  <c:v>-361.52839693603289</c:v>
                </c:pt>
                <c:pt idx="40">
                  <c:v>-366.19521191707037</c:v>
                </c:pt>
                <c:pt idx="41">
                  <c:v>-370.67690476944671</c:v>
                </c:pt>
                <c:pt idx="42">
                  <c:v>-370.76426676342021</c:v>
                </c:pt>
                <c:pt idx="43">
                  <c:v>-370.76426676342021</c:v>
                </c:pt>
                <c:pt idx="44">
                  <c:v>-370.76426676342021</c:v>
                </c:pt>
                <c:pt idx="45">
                  <c:v>-370.76426676342021</c:v>
                </c:pt>
                <c:pt idx="46">
                  <c:v>-370.76426676342021</c:v>
                </c:pt>
                <c:pt idx="47">
                  <c:v>-370.76426676342021</c:v>
                </c:pt>
                <c:pt idx="48">
                  <c:v>-370.76426676342021</c:v>
                </c:pt>
                <c:pt idx="49">
                  <c:v>-370.76426676342021</c:v>
                </c:pt>
                <c:pt idx="50">
                  <c:v>-370.76426676342021</c:v>
                </c:pt>
                <c:pt idx="51">
                  <c:v>-370.76426676342021</c:v>
                </c:pt>
                <c:pt idx="52">
                  <c:v>-370.76426676342021</c:v>
                </c:pt>
                <c:pt idx="53">
                  <c:v>-370.76426676342021</c:v>
                </c:pt>
                <c:pt idx="54">
                  <c:v>-370.76426676342021</c:v>
                </c:pt>
                <c:pt idx="55">
                  <c:v>-370.76426676342021</c:v>
                </c:pt>
                <c:pt idx="56">
                  <c:v>-370.76426676342021</c:v>
                </c:pt>
                <c:pt idx="57">
                  <c:v>-370.76426676342021</c:v>
                </c:pt>
                <c:pt idx="58">
                  <c:v>-370.76426676342021</c:v>
                </c:pt>
                <c:pt idx="59">
                  <c:v>-370.76426676342021</c:v>
                </c:pt>
                <c:pt idx="60">
                  <c:v>-370.76426676342021</c:v>
                </c:pt>
                <c:pt idx="61">
                  <c:v>-370.76426676342021</c:v>
                </c:pt>
                <c:pt idx="62">
                  <c:v>-370.76426676342021</c:v>
                </c:pt>
                <c:pt idx="63">
                  <c:v>-370.76426676342021</c:v>
                </c:pt>
                <c:pt idx="64">
                  <c:v>-370.76426676342021</c:v>
                </c:pt>
                <c:pt idx="65">
                  <c:v>-370.76426676342021</c:v>
                </c:pt>
                <c:pt idx="66">
                  <c:v>-370.76426676342021</c:v>
                </c:pt>
                <c:pt idx="67">
                  <c:v>-370.76426676342021</c:v>
                </c:pt>
                <c:pt idx="68">
                  <c:v>-370.76426676342021</c:v>
                </c:pt>
                <c:pt idx="69">
                  <c:v>-370.76426676342021</c:v>
                </c:pt>
                <c:pt idx="70">
                  <c:v>-370.76426676342021</c:v>
                </c:pt>
                <c:pt idx="71">
                  <c:v>-370.76426676342021</c:v>
                </c:pt>
                <c:pt idx="72">
                  <c:v>-370.76426676342021</c:v>
                </c:pt>
                <c:pt idx="73">
                  <c:v>-370.76426676342021</c:v>
                </c:pt>
                <c:pt idx="74">
                  <c:v>-370.76426676342021</c:v>
                </c:pt>
                <c:pt idx="75">
                  <c:v>-370.76426676342021</c:v>
                </c:pt>
                <c:pt idx="76">
                  <c:v>-370.76426676342021</c:v>
                </c:pt>
                <c:pt idx="77">
                  <c:v>-370.76426676342021</c:v>
                </c:pt>
                <c:pt idx="78">
                  <c:v>-370.76426676342021</c:v>
                </c:pt>
                <c:pt idx="79">
                  <c:v>-370.76426676342021</c:v>
                </c:pt>
                <c:pt idx="80">
                  <c:v>-370.76426676342021</c:v>
                </c:pt>
                <c:pt idx="81">
                  <c:v>-370.76426676342021</c:v>
                </c:pt>
                <c:pt idx="82">
                  <c:v>-370.76426676342021</c:v>
                </c:pt>
                <c:pt idx="83">
                  <c:v>-370.76426676342021</c:v>
                </c:pt>
                <c:pt idx="84">
                  <c:v>-370.76426676342021</c:v>
                </c:pt>
                <c:pt idx="85">
                  <c:v>-370.76426676342021</c:v>
                </c:pt>
                <c:pt idx="86">
                  <c:v>-370.76426676342021</c:v>
                </c:pt>
                <c:pt idx="87">
                  <c:v>-370.76426676342021</c:v>
                </c:pt>
                <c:pt idx="88">
                  <c:v>-370.76426676342021</c:v>
                </c:pt>
                <c:pt idx="89">
                  <c:v>-370.76426676342021</c:v>
                </c:pt>
                <c:pt idx="90">
                  <c:v>-370.76426676342021</c:v>
                </c:pt>
                <c:pt idx="91">
                  <c:v>-370.76426676342021</c:v>
                </c:pt>
                <c:pt idx="92">
                  <c:v>-370.76426676342021</c:v>
                </c:pt>
                <c:pt idx="93">
                  <c:v>-370.76426676342021</c:v>
                </c:pt>
                <c:pt idx="94">
                  <c:v>-370.76426676342021</c:v>
                </c:pt>
                <c:pt idx="95">
                  <c:v>-370.76426676342021</c:v>
                </c:pt>
                <c:pt idx="96">
                  <c:v>-370.76426676342021</c:v>
                </c:pt>
                <c:pt idx="97">
                  <c:v>-370.76426676342021</c:v>
                </c:pt>
                <c:pt idx="98">
                  <c:v>-370.76426676342021</c:v>
                </c:pt>
                <c:pt idx="99">
                  <c:v>-370.781711316474</c:v>
                </c:pt>
                <c:pt idx="100">
                  <c:v>-371.62544682950806</c:v>
                </c:pt>
                <c:pt idx="101">
                  <c:v>-372.46555352742797</c:v>
                </c:pt>
                <c:pt idx="102">
                  <c:v>-374.09101934727522</c:v>
                </c:pt>
                <c:pt idx="103">
                  <c:v>-375.65646783440252</c:v>
                </c:pt>
                <c:pt idx="104">
                  <c:v>-377.17587076656656</c:v>
                </c:pt>
                <c:pt idx="105">
                  <c:v>-378.66136041060759</c:v>
                </c:pt>
                <c:pt idx="106">
                  <c:v>-380.12322207219825</c:v>
                </c:pt>
                <c:pt idx="107">
                  <c:v>-381.56988681316909</c:v>
                </c:pt>
                <c:pt idx="108">
                  <c:v>-383.00792428605234</c:v>
                </c:pt>
                <c:pt idx="109">
                  <c:v>-384.44203564456046</c:v>
                </c:pt>
                <c:pt idx="110">
                  <c:v>-385.15857548939942</c:v>
                </c:pt>
                <c:pt idx="111">
                  <c:v>-385.86071717604858</c:v>
                </c:pt>
                <c:pt idx="112">
                  <c:v>-385.87504649783841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8235648"/>
        <c:axId val="518237184"/>
      </c:scatterChart>
      <c:valAx>
        <c:axId val="518235648"/>
        <c:scaling>
          <c:orientation val="minMax"/>
          <c:min val="0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518237184"/>
        <c:crosses val="autoZero"/>
        <c:crossBetween val="midCat"/>
      </c:valAx>
      <c:valAx>
        <c:axId val="518237184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51823564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C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200"/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Vorlage!$L$2:$L$3</c:f>
              <c:strCache>
                <c:ptCount val="1"/>
                <c:pt idx="0">
                  <c:v>Setzung y (mm)</c:v>
                </c:pt>
              </c:strCache>
            </c:strRef>
          </c:tx>
          <c:marker>
            <c:symbol val="none"/>
          </c:marker>
          <c:xVal>
            <c:numRef>
              <c:f>Vorlage!$J$4:$J$760</c:f>
              <c:numCache>
                <c:formatCode>General</c:formatCode>
                <c:ptCount val="757"/>
                <c:pt idx="0">
                  <c:v>0</c:v>
                </c:pt>
                <c:pt idx="1">
                  <c:v>5.0000000000000001E-4</c:v>
                </c:pt>
                <c:pt idx="2">
                  <c:v>2.5000000000000001E-2</c:v>
                </c:pt>
                <c:pt idx="3">
                  <c:v>0.05</c:v>
                </c:pt>
                <c:pt idx="4">
                  <c:v>0.1</c:v>
                </c:pt>
                <c:pt idx="5">
                  <c:v>0.15000000000000002</c:v>
                </c:pt>
                <c:pt idx="6">
                  <c:v>0.2</c:v>
                </c:pt>
                <c:pt idx="7">
                  <c:v>0.25</c:v>
                </c:pt>
                <c:pt idx="8">
                  <c:v>0.30000000000000004</c:v>
                </c:pt>
                <c:pt idx="9">
                  <c:v>0.35000000000000003</c:v>
                </c:pt>
                <c:pt idx="10">
                  <c:v>0.4</c:v>
                </c:pt>
                <c:pt idx="11">
                  <c:v>0.45</c:v>
                </c:pt>
                <c:pt idx="12">
                  <c:v>0.47500000000000003</c:v>
                </c:pt>
                <c:pt idx="13">
                  <c:v>0.49950000000000006</c:v>
                </c:pt>
                <c:pt idx="14">
                  <c:v>0.5</c:v>
                </c:pt>
                <c:pt idx="15">
                  <c:v>0.50249999999999995</c:v>
                </c:pt>
                <c:pt idx="16">
                  <c:v>0.625</c:v>
                </c:pt>
                <c:pt idx="17">
                  <c:v>0.75</c:v>
                </c:pt>
                <c:pt idx="18">
                  <c:v>1</c:v>
                </c:pt>
                <c:pt idx="19">
                  <c:v>1.25</c:v>
                </c:pt>
                <c:pt idx="20">
                  <c:v>1.5</c:v>
                </c:pt>
                <c:pt idx="21">
                  <c:v>1.75</c:v>
                </c:pt>
                <c:pt idx="22">
                  <c:v>2</c:v>
                </c:pt>
                <c:pt idx="23">
                  <c:v>2.25</c:v>
                </c:pt>
                <c:pt idx="24">
                  <c:v>2.5</c:v>
                </c:pt>
                <c:pt idx="25">
                  <c:v>2.75</c:v>
                </c:pt>
                <c:pt idx="26">
                  <c:v>2.875</c:v>
                </c:pt>
                <c:pt idx="27">
                  <c:v>2.9975000000000001</c:v>
                </c:pt>
                <c:pt idx="28">
                  <c:v>3</c:v>
                </c:pt>
                <c:pt idx="29">
                  <c:v>3.0024999999999999</c:v>
                </c:pt>
                <c:pt idx="30">
                  <c:v>3.125</c:v>
                </c:pt>
                <c:pt idx="31">
                  <c:v>3.25</c:v>
                </c:pt>
                <c:pt idx="32">
                  <c:v>3.5</c:v>
                </c:pt>
                <c:pt idx="33">
                  <c:v>3.75</c:v>
                </c:pt>
                <c:pt idx="34">
                  <c:v>4</c:v>
                </c:pt>
                <c:pt idx="35">
                  <c:v>4.25</c:v>
                </c:pt>
                <c:pt idx="36">
                  <c:v>4.5</c:v>
                </c:pt>
                <c:pt idx="37">
                  <c:v>4.75</c:v>
                </c:pt>
                <c:pt idx="38">
                  <c:v>5</c:v>
                </c:pt>
                <c:pt idx="39">
                  <c:v>5.25</c:v>
                </c:pt>
                <c:pt idx="40">
                  <c:v>5.375</c:v>
                </c:pt>
                <c:pt idx="41">
                  <c:v>5.4975000000000005</c:v>
                </c:pt>
                <c:pt idx="42">
                  <c:v>5.5</c:v>
                </c:pt>
                <c:pt idx="43">
                  <c:v>5.5</c:v>
                </c:pt>
                <c:pt idx="44">
                  <c:v>5.5</c:v>
                </c:pt>
                <c:pt idx="45">
                  <c:v>5.5</c:v>
                </c:pt>
                <c:pt idx="46">
                  <c:v>5.5</c:v>
                </c:pt>
                <c:pt idx="47">
                  <c:v>5.5</c:v>
                </c:pt>
                <c:pt idx="48">
                  <c:v>5.5</c:v>
                </c:pt>
                <c:pt idx="49">
                  <c:v>5.5</c:v>
                </c:pt>
                <c:pt idx="50">
                  <c:v>5.5</c:v>
                </c:pt>
                <c:pt idx="51">
                  <c:v>5.5</c:v>
                </c:pt>
                <c:pt idx="52">
                  <c:v>5.5</c:v>
                </c:pt>
                <c:pt idx="53">
                  <c:v>5.5</c:v>
                </c:pt>
                <c:pt idx="54">
                  <c:v>5.5</c:v>
                </c:pt>
                <c:pt idx="55">
                  <c:v>5.5</c:v>
                </c:pt>
                <c:pt idx="56">
                  <c:v>5.5</c:v>
                </c:pt>
                <c:pt idx="57">
                  <c:v>5.5</c:v>
                </c:pt>
                <c:pt idx="58">
                  <c:v>5.5</c:v>
                </c:pt>
                <c:pt idx="59">
                  <c:v>5.5</c:v>
                </c:pt>
                <c:pt idx="60">
                  <c:v>5.5</c:v>
                </c:pt>
                <c:pt idx="61">
                  <c:v>5.5</c:v>
                </c:pt>
                <c:pt idx="62">
                  <c:v>5.5</c:v>
                </c:pt>
                <c:pt idx="63">
                  <c:v>5.5</c:v>
                </c:pt>
                <c:pt idx="64">
                  <c:v>5.5</c:v>
                </c:pt>
                <c:pt idx="65">
                  <c:v>5.5</c:v>
                </c:pt>
                <c:pt idx="66">
                  <c:v>5.5</c:v>
                </c:pt>
                <c:pt idx="67">
                  <c:v>5.5</c:v>
                </c:pt>
                <c:pt idx="68">
                  <c:v>5.5</c:v>
                </c:pt>
                <c:pt idx="69">
                  <c:v>5.5</c:v>
                </c:pt>
                <c:pt idx="70">
                  <c:v>5.5</c:v>
                </c:pt>
                <c:pt idx="71">
                  <c:v>5.5</c:v>
                </c:pt>
                <c:pt idx="72">
                  <c:v>5.5</c:v>
                </c:pt>
                <c:pt idx="73">
                  <c:v>5.5</c:v>
                </c:pt>
                <c:pt idx="74">
                  <c:v>5.5</c:v>
                </c:pt>
                <c:pt idx="75">
                  <c:v>5.5</c:v>
                </c:pt>
                <c:pt idx="76">
                  <c:v>5.5</c:v>
                </c:pt>
                <c:pt idx="77">
                  <c:v>5.5</c:v>
                </c:pt>
                <c:pt idx="78">
                  <c:v>5.5</c:v>
                </c:pt>
                <c:pt idx="79">
                  <c:v>5.5</c:v>
                </c:pt>
                <c:pt idx="80">
                  <c:v>5.5</c:v>
                </c:pt>
                <c:pt idx="81">
                  <c:v>5.5</c:v>
                </c:pt>
                <c:pt idx="82">
                  <c:v>5.5</c:v>
                </c:pt>
                <c:pt idx="83">
                  <c:v>5.5</c:v>
                </c:pt>
                <c:pt idx="84">
                  <c:v>5.5</c:v>
                </c:pt>
                <c:pt idx="85">
                  <c:v>5.5</c:v>
                </c:pt>
                <c:pt idx="86">
                  <c:v>5.5</c:v>
                </c:pt>
                <c:pt idx="87">
                  <c:v>5.5</c:v>
                </c:pt>
                <c:pt idx="88">
                  <c:v>5.5</c:v>
                </c:pt>
                <c:pt idx="89">
                  <c:v>5.5</c:v>
                </c:pt>
                <c:pt idx="90">
                  <c:v>5.5</c:v>
                </c:pt>
                <c:pt idx="91">
                  <c:v>5.5</c:v>
                </c:pt>
                <c:pt idx="92">
                  <c:v>5.5</c:v>
                </c:pt>
                <c:pt idx="93">
                  <c:v>5.5</c:v>
                </c:pt>
                <c:pt idx="94">
                  <c:v>5.5</c:v>
                </c:pt>
                <c:pt idx="95">
                  <c:v>5.5</c:v>
                </c:pt>
                <c:pt idx="96">
                  <c:v>5.5</c:v>
                </c:pt>
                <c:pt idx="97">
                  <c:v>5.5</c:v>
                </c:pt>
                <c:pt idx="98">
                  <c:v>5.5</c:v>
                </c:pt>
                <c:pt idx="99">
                  <c:v>5.5004999999999997</c:v>
                </c:pt>
                <c:pt idx="100">
                  <c:v>5.5250000000000004</c:v>
                </c:pt>
                <c:pt idx="101">
                  <c:v>5.55</c:v>
                </c:pt>
                <c:pt idx="102">
                  <c:v>5.6</c:v>
                </c:pt>
                <c:pt idx="103">
                  <c:v>5.65</c:v>
                </c:pt>
                <c:pt idx="104">
                  <c:v>5.7</c:v>
                </c:pt>
                <c:pt idx="105">
                  <c:v>5.75</c:v>
                </c:pt>
                <c:pt idx="106">
                  <c:v>5.8</c:v>
                </c:pt>
                <c:pt idx="107">
                  <c:v>5.85</c:v>
                </c:pt>
                <c:pt idx="108">
                  <c:v>5.9</c:v>
                </c:pt>
                <c:pt idx="109">
                  <c:v>5.95</c:v>
                </c:pt>
                <c:pt idx="110">
                  <c:v>5.9749999999999996</c:v>
                </c:pt>
                <c:pt idx="111">
                  <c:v>5.9995000000000003</c:v>
                </c:pt>
                <c:pt idx="112">
                  <c:v>6</c:v>
                </c:pt>
              </c:numCache>
            </c:numRef>
          </c:xVal>
          <c:yVal>
            <c:numRef>
              <c:f>Vorlage!$L$4:$L$760</c:f>
              <c:numCache>
                <c:formatCode>0.0</c:formatCode>
                <c:ptCount val="757"/>
                <c:pt idx="0">
                  <c:v>-9.522398583309359</c:v>
                </c:pt>
                <c:pt idx="1">
                  <c:v>-9.5234910771548158</c:v>
                </c:pt>
                <c:pt idx="2">
                  <c:v>-9.5770231540110036</c:v>
                </c:pt>
                <c:pt idx="3">
                  <c:v>-9.6316460204758965</c:v>
                </c:pt>
                <c:pt idx="4">
                  <c:v>-9.7408661229830145</c:v>
                </c:pt>
                <c:pt idx="5">
                  <c:v>-9.8499882769251084</c:v>
                </c:pt>
                <c:pt idx="6">
                  <c:v>-9.9588941685241146</c:v>
                </c:pt>
                <c:pt idx="7">
                  <c:v>-10.067417249866859</c:v>
                </c:pt>
                <c:pt idx="8">
                  <c:v>-10.175342205740817</c:v>
                </c:pt>
                <c:pt idx="9">
                  <c:v>-10.282404422384184</c:v>
                </c:pt>
                <c:pt idx="10">
                  <c:v>-10.38828945920519</c:v>
                </c:pt>
                <c:pt idx="11">
                  <c:v>-10.492632524766808</c:v>
                </c:pt>
                <c:pt idx="12">
                  <c:v>-10.544097925516761</c:v>
                </c:pt>
                <c:pt idx="13">
                  <c:v>-10.594005285194278</c:v>
                </c:pt>
                <c:pt idx="14">
                  <c:v>-10.595017958577074</c:v>
                </c:pt>
                <c:pt idx="15">
                  <c:v>-10.600077717247929</c:v>
                </c:pt>
                <c:pt idx="16">
                  <c:v>-10.843242932210629</c:v>
                </c:pt>
                <c:pt idx="17">
                  <c:v>-11.091558344544511</c:v>
                </c:pt>
                <c:pt idx="18">
                  <c:v>-11.639587796038462</c:v>
                </c:pt>
                <c:pt idx="19">
                  <c:v>-12.319833041751364</c:v>
                </c:pt>
                <c:pt idx="20">
                  <c:v>-13.177329601966242</c:v>
                </c:pt>
                <c:pt idx="21">
                  <c:v>-14.219316878524669</c:v>
                </c:pt>
                <c:pt idx="22">
                  <c:v>-15.412610034335962</c:v>
                </c:pt>
                <c:pt idx="23">
                  <c:v>-16.680427846318533</c:v>
                </c:pt>
                <c:pt idx="24">
                  <c:v>-17.898779714356547</c:v>
                </c:pt>
                <c:pt idx="25">
                  <c:v>-18.892648663490689</c:v>
                </c:pt>
                <c:pt idx="26">
                  <c:v>-19.235849234186965</c:v>
                </c:pt>
                <c:pt idx="27">
                  <c:v>-19.430097314289846</c:v>
                </c:pt>
                <c:pt idx="28">
                  <c:v>-19.432351768198718</c:v>
                </c:pt>
                <c:pt idx="29">
                  <c:v>-19.434532682420169</c:v>
                </c:pt>
                <c:pt idx="30">
                  <c:v>-19.458086103583639</c:v>
                </c:pt>
                <c:pt idx="31">
                  <c:v>-19.33992580819427</c:v>
                </c:pt>
                <c:pt idx="32">
                  <c:v>-18.815505116661619</c:v>
                </c:pt>
                <c:pt idx="33">
                  <c:v>-18.109563499976407</c:v>
                </c:pt>
                <c:pt idx="34">
                  <c:v>-17.415081197677615</c:v>
                </c:pt>
                <c:pt idx="35">
                  <c:v>-16.869607028138436</c:v>
                </c:pt>
                <c:pt idx="36">
                  <c:v>-16.557313737323604</c:v>
                </c:pt>
                <c:pt idx="37">
                  <c:v>-16.510624524512579</c:v>
                </c:pt>
                <c:pt idx="38">
                  <c:v>-16.711152298780526</c:v>
                </c:pt>
                <c:pt idx="39">
                  <c:v>-17.08985195367859</c:v>
                </c:pt>
                <c:pt idx="40">
                  <c:v>-17.310457521033928</c:v>
                </c:pt>
                <c:pt idx="41">
                  <c:v>-17.52231215817471</c:v>
                </c:pt>
                <c:pt idx="42">
                  <c:v>-17.526441857407296</c:v>
                </c:pt>
                <c:pt idx="43">
                  <c:v>-17.526441857407296</c:v>
                </c:pt>
                <c:pt idx="44">
                  <c:v>-17.526441857407296</c:v>
                </c:pt>
                <c:pt idx="45">
                  <c:v>-17.526441857407296</c:v>
                </c:pt>
                <c:pt idx="46">
                  <c:v>-17.526441857407296</c:v>
                </c:pt>
                <c:pt idx="47">
                  <c:v>-17.526441857407296</c:v>
                </c:pt>
                <c:pt idx="48">
                  <c:v>-17.526441857407296</c:v>
                </c:pt>
                <c:pt idx="49">
                  <c:v>-17.526441857407296</c:v>
                </c:pt>
                <c:pt idx="50">
                  <c:v>-17.526441857407296</c:v>
                </c:pt>
                <c:pt idx="51">
                  <c:v>-17.526441857407296</c:v>
                </c:pt>
                <c:pt idx="52">
                  <c:v>-17.526441857407296</c:v>
                </c:pt>
                <c:pt idx="53">
                  <c:v>-17.526441857407296</c:v>
                </c:pt>
                <c:pt idx="54">
                  <c:v>-17.526441857407296</c:v>
                </c:pt>
                <c:pt idx="55">
                  <c:v>-17.526441857407296</c:v>
                </c:pt>
                <c:pt idx="56">
                  <c:v>-17.526441857407296</c:v>
                </c:pt>
                <c:pt idx="57">
                  <c:v>-17.526441857407296</c:v>
                </c:pt>
                <c:pt idx="58">
                  <c:v>-17.526441857407296</c:v>
                </c:pt>
                <c:pt idx="59">
                  <c:v>-17.526441857407296</c:v>
                </c:pt>
                <c:pt idx="60">
                  <c:v>-17.526441857407296</c:v>
                </c:pt>
                <c:pt idx="61">
                  <c:v>-17.526441857407296</c:v>
                </c:pt>
                <c:pt idx="62">
                  <c:v>-17.526441857407296</c:v>
                </c:pt>
                <c:pt idx="63">
                  <c:v>-17.526441857407296</c:v>
                </c:pt>
                <c:pt idx="64">
                  <c:v>-17.526441857407296</c:v>
                </c:pt>
                <c:pt idx="65">
                  <c:v>-17.526441857407296</c:v>
                </c:pt>
                <c:pt idx="66">
                  <c:v>-17.526441857407296</c:v>
                </c:pt>
                <c:pt idx="67">
                  <c:v>-17.526441857407296</c:v>
                </c:pt>
                <c:pt idx="68">
                  <c:v>-17.526441857407296</c:v>
                </c:pt>
                <c:pt idx="69">
                  <c:v>-17.526441857407296</c:v>
                </c:pt>
                <c:pt idx="70">
                  <c:v>-17.526441857407296</c:v>
                </c:pt>
                <c:pt idx="71">
                  <c:v>-17.526441857407296</c:v>
                </c:pt>
                <c:pt idx="72">
                  <c:v>-17.526441857407296</c:v>
                </c:pt>
                <c:pt idx="73">
                  <c:v>-17.526441857407296</c:v>
                </c:pt>
                <c:pt idx="74">
                  <c:v>-17.526441857407296</c:v>
                </c:pt>
                <c:pt idx="75">
                  <c:v>-17.526441857407296</c:v>
                </c:pt>
                <c:pt idx="76">
                  <c:v>-17.526441857407296</c:v>
                </c:pt>
                <c:pt idx="77">
                  <c:v>-17.526441857407296</c:v>
                </c:pt>
                <c:pt idx="78">
                  <c:v>-17.526441857407296</c:v>
                </c:pt>
                <c:pt idx="79">
                  <c:v>-17.526441857407296</c:v>
                </c:pt>
                <c:pt idx="80">
                  <c:v>-17.526441857407296</c:v>
                </c:pt>
                <c:pt idx="81">
                  <c:v>-17.526441857407296</c:v>
                </c:pt>
                <c:pt idx="82">
                  <c:v>-17.526441857407296</c:v>
                </c:pt>
                <c:pt idx="83">
                  <c:v>-17.526441857407296</c:v>
                </c:pt>
                <c:pt idx="84">
                  <c:v>-17.526441857407296</c:v>
                </c:pt>
                <c:pt idx="85">
                  <c:v>-17.526441857407296</c:v>
                </c:pt>
                <c:pt idx="86">
                  <c:v>-17.526441857407296</c:v>
                </c:pt>
                <c:pt idx="87">
                  <c:v>-17.526441857407296</c:v>
                </c:pt>
                <c:pt idx="88">
                  <c:v>-17.526441857407296</c:v>
                </c:pt>
                <c:pt idx="89">
                  <c:v>-17.526441857407296</c:v>
                </c:pt>
                <c:pt idx="90">
                  <c:v>-17.526441857407296</c:v>
                </c:pt>
                <c:pt idx="91">
                  <c:v>-17.526441857407296</c:v>
                </c:pt>
                <c:pt idx="92">
                  <c:v>-17.526441857407296</c:v>
                </c:pt>
                <c:pt idx="93">
                  <c:v>-17.526441857407296</c:v>
                </c:pt>
                <c:pt idx="94">
                  <c:v>-17.526441857407296</c:v>
                </c:pt>
                <c:pt idx="95">
                  <c:v>-17.526441857407296</c:v>
                </c:pt>
                <c:pt idx="96">
                  <c:v>-17.526441857407296</c:v>
                </c:pt>
                <c:pt idx="97">
                  <c:v>-17.526441857407296</c:v>
                </c:pt>
                <c:pt idx="98">
                  <c:v>-17.526441857407296</c:v>
                </c:pt>
                <c:pt idx="99">
                  <c:v>-17.527266480954477</c:v>
                </c:pt>
                <c:pt idx="100">
                  <c:v>-17.567150802982891</c:v>
                </c:pt>
                <c:pt idx="101">
                  <c:v>-17.606863586859408</c:v>
                </c:pt>
                <c:pt idx="102">
                  <c:v>-17.683701175420591</c:v>
                </c:pt>
                <c:pt idx="103">
                  <c:v>-17.757701677491383</c:v>
                </c:pt>
                <c:pt idx="104">
                  <c:v>-17.829525554643869</c:v>
                </c:pt>
                <c:pt idx="105">
                  <c:v>-17.899746312710285</c:v>
                </c:pt>
                <c:pt idx="106">
                  <c:v>-17.968850149601312</c:v>
                </c:pt>
                <c:pt idx="107">
                  <c:v>-18.037235611045919</c:v>
                </c:pt>
                <c:pt idx="108">
                  <c:v>-18.105213251872193</c:v>
                </c:pt>
                <c:pt idx="109">
                  <c:v>-18.173005300877762</c:v>
                </c:pt>
                <c:pt idx="110">
                  <c:v>-18.206876941310412</c:v>
                </c:pt>
                <c:pt idx="111">
                  <c:v>-18.240067964690695</c:v>
                </c:pt>
                <c:pt idx="112">
                  <c:v>-18.240745327769393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8257280"/>
        <c:axId val="518328704"/>
      </c:scatterChart>
      <c:valAx>
        <c:axId val="518257280"/>
        <c:scaling>
          <c:orientation val="minMax"/>
          <c:min val="0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518328704"/>
        <c:crosses val="autoZero"/>
        <c:crossBetween val="midCat"/>
      </c:valAx>
      <c:valAx>
        <c:axId val="518328704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51825728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C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'Erweiterte Anwendung'!$N$2:$N$3</c:f>
              <c:strCache>
                <c:ptCount val="1"/>
                <c:pt idx="0">
                  <c:v>LK 1 Ftot-Max</c:v>
                </c:pt>
              </c:strCache>
            </c:strRef>
          </c:tx>
          <c:marker>
            <c:symbol val="none"/>
          </c:marker>
          <c:xVal>
            <c:numRef>
              <c:f>'Erweiterte Anwendung'!$M$4:$M$760</c:f>
              <c:numCache>
                <c:formatCode>General</c:formatCode>
                <c:ptCount val="757"/>
                <c:pt idx="0">
                  <c:v>0</c:v>
                </c:pt>
                <c:pt idx="1">
                  <c:v>1E-3</c:v>
                </c:pt>
                <c:pt idx="2">
                  <c:v>0.05</c:v>
                </c:pt>
                <c:pt idx="3">
                  <c:v>0.1</c:v>
                </c:pt>
                <c:pt idx="4">
                  <c:v>0.2</c:v>
                </c:pt>
                <c:pt idx="5">
                  <c:v>0.30000000000000004</c:v>
                </c:pt>
                <c:pt idx="6">
                  <c:v>0.4</c:v>
                </c:pt>
                <c:pt idx="7">
                  <c:v>0.5</c:v>
                </c:pt>
                <c:pt idx="8">
                  <c:v>0.60000000000000009</c:v>
                </c:pt>
                <c:pt idx="9">
                  <c:v>0.70000000000000007</c:v>
                </c:pt>
                <c:pt idx="10">
                  <c:v>0.8</c:v>
                </c:pt>
                <c:pt idx="11">
                  <c:v>0.9</c:v>
                </c:pt>
                <c:pt idx="12">
                  <c:v>0.95000000000000007</c:v>
                </c:pt>
                <c:pt idx="13">
                  <c:v>0.99900000000000011</c:v>
                </c:pt>
                <c:pt idx="14">
                  <c:v>1</c:v>
                </c:pt>
                <c:pt idx="15">
                  <c:v>1.004</c:v>
                </c:pt>
                <c:pt idx="16">
                  <c:v>1.2</c:v>
                </c:pt>
                <c:pt idx="17">
                  <c:v>1.4</c:v>
                </c:pt>
                <c:pt idx="18">
                  <c:v>1.8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3.4000000000000004</c:v>
                </c:pt>
                <c:pt idx="23">
                  <c:v>3.8000000000000003</c:v>
                </c:pt>
                <c:pt idx="24">
                  <c:v>4.2</c:v>
                </c:pt>
                <c:pt idx="25">
                  <c:v>4.5999999999999996</c:v>
                </c:pt>
                <c:pt idx="26">
                  <c:v>4.8000000000000007</c:v>
                </c:pt>
                <c:pt idx="27">
                  <c:v>4.9960000000000004</c:v>
                </c:pt>
                <c:pt idx="28">
                  <c:v>5</c:v>
                </c:pt>
                <c:pt idx="29">
                  <c:v>5.0039999999999996</c:v>
                </c:pt>
                <c:pt idx="30">
                  <c:v>5.2</c:v>
                </c:pt>
                <c:pt idx="31">
                  <c:v>5.4</c:v>
                </c:pt>
                <c:pt idx="32">
                  <c:v>5.8</c:v>
                </c:pt>
                <c:pt idx="33">
                  <c:v>6.2</c:v>
                </c:pt>
                <c:pt idx="34">
                  <c:v>6.6</c:v>
                </c:pt>
                <c:pt idx="35">
                  <c:v>7</c:v>
                </c:pt>
                <c:pt idx="36">
                  <c:v>7.4</c:v>
                </c:pt>
                <c:pt idx="37">
                  <c:v>7.8000000000000007</c:v>
                </c:pt>
                <c:pt idx="38">
                  <c:v>8.1999999999999993</c:v>
                </c:pt>
                <c:pt idx="39">
                  <c:v>8.6</c:v>
                </c:pt>
                <c:pt idx="40">
                  <c:v>8.8000000000000007</c:v>
                </c:pt>
                <c:pt idx="41">
                  <c:v>8.9960000000000004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9</c:v>
                </c:pt>
                <c:pt idx="85">
                  <c:v>9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  <c:pt idx="93">
                  <c:v>9</c:v>
                </c:pt>
                <c:pt idx="94">
                  <c:v>9</c:v>
                </c:pt>
                <c:pt idx="95">
                  <c:v>9</c:v>
                </c:pt>
                <c:pt idx="96">
                  <c:v>9</c:v>
                </c:pt>
                <c:pt idx="97">
                  <c:v>9</c:v>
                </c:pt>
                <c:pt idx="98">
                  <c:v>9</c:v>
                </c:pt>
                <c:pt idx="99">
                  <c:v>9.0009999999999994</c:v>
                </c:pt>
                <c:pt idx="100">
                  <c:v>9.0500000000000007</c:v>
                </c:pt>
                <c:pt idx="101">
                  <c:v>9.1</c:v>
                </c:pt>
                <c:pt idx="102">
                  <c:v>9.1999999999999993</c:v>
                </c:pt>
                <c:pt idx="103">
                  <c:v>9.3000000000000007</c:v>
                </c:pt>
                <c:pt idx="104">
                  <c:v>9.4</c:v>
                </c:pt>
                <c:pt idx="105">
                  <c:v>9.5</c:v>
                </c:pt>
                <c:pt idx="106">
                  <c:v>9.6</c:v>
                </c:pt>
                <c:pt idx="107">
                  <c:v>9.6999999999999993</c:v>
                </c:pt>
                <c:pt idx="108">
                  <c:v>9.8000000000000007</c:v>
                </c:pt>
                <c:pt idx="109">
                  <c:v>9.9</c:v>
                </c:pt>
                <c:pt idx="110">
                  <c:v>9.9499999999999993</c:v>
                </c:pt>
                <c:pt idx="111">
                  <c:v>9.9990000000000006</c:v>
                </c:pt>
                <c:pt idx="112">
                  <c:v>10</c:v>
                </c:pt>
              </c:numCache>
            </c:numRef>
          </c:xVal>
          <c:yVal>
            <c:numRef>
              <c:f>'Erweiterte Anwendung'!$N$4:$N$760</c:f>
              <c:numCache>
                <c:formatCode>0</c:formatCode>
                <c:ptCount val="757"/>
                <c:pt idx="0">
                  <c:v>2.1121000103381186E-14</c:v>
                </c:pt>
                <c:pt idx="1">
                  <c:v>-8.8363090742666617E-5</c:v>
                </c:pt>
                <c:pt idx="2">
                  <c:v>-0.22036350732452192</c:v>
                </c:pt>
                <c:pt idx="3">
                  <c:v>-0.87923270940936626</c:v>
                </c:pt>
                <c:pt idx="4">
                  <c:v>-3.4991593111843451</c:v>
                </c:pt>
                <c:pt idx="5">
                  <c:v>-7.8331142490134376</c:v>
                </c:pt>
                <c:pt idx="6">
                  <c:v>-13.854403420002281</c:v>
                </c:pt>
                <c:pt idx="7">
                  <c:v>-21.536271519949167</c:v>
                </c:pt>
                <c:pt idx="8">
                  <c:v>-30.851856662203872</c:v>
                </c:pt>
                <c:pt idx="9">
                  <c:v>-41.774132471963817</c:v>
                </c:pt>
                <c:pt idx="10">
                  <c:v>-54.275837858683033</c:v>
                </c:pt>
                <c:pt idx="11">
                  <c:v>-68.329394670525673</c:v>
                </c:pt>
                <c:pt idx="12">
                  <c:v>-75.929389536670101</c:v>
                </c:pt>
                <c:pt idx="13">
                  <c:v>-83.743589248951182</c:v>
                </c:pt>
                <c:pt idx="14">
                  <c:v>-83.906813436579</c:v>
                </c:pt>
                <c:pt idx="15">
                  <c:v>-82.89453864039325</c:v>
                </c:pt>
                <c:pt idx="16">
                  <c:v>-36.185325558733162</c:v>
                </c:pt>
                <c:pt idx="17">
                  <c:v>5.7893164218980067</c:v>
                </c:pt>
                <c:pt idx="18">
                  <c:v>73.451164965504304</c:v>
                </c:pt>
                <c:pt idx="19">
                  <c:v>120.95326166838774</c:v>
                </c:pt>
                <c:pt idx="20">
                  <c:v>150.03480029099637</c:v>
                </c:pt>
                <c:pt idx="21">
                  <c:v>162.20735971508873</c:v>
                </c:pt>
                <c:pt idx="22">
                  <c:v>158.69826538328388</c:v>
                </c:pt>
                <c:pt idx="23">
                  <c:v>140.42669093597939</c:v>
                </c:pt>
                <c:pt idx="24">
                  <c:v>108.01013795351717</c:v>
                </c:pt>
                <c:pt idx="25">
                  <c:v>61.79951693085566</c:v>
                </c:pt>
                <c:pt idx="26">
                  <c:v>33.573020700788994</c:v>
                </c:pt>
                <c:pt idx="27">
                  <c:v>2.6076118001173398</c:v>
                </c:pt>
                <c:pt idx="28">
                  <c:v>1.9416258917765343</c:v>
                </c:pt>
                <c:pt idx="29">
                  <c:v>2.6076118001172928</c:v>
                </c:pt>
                <c:pt idx="30">
                  <c:v>33.573020700789208</c:v>
                </c:pt>
                <c:pt idx="31">
                  <c:v>61.79951693085593</c:v>
                </c:pt>
                <c:pt idx="32">
                  <c:v>108.01013795351756</c:v>
                </c:pt>
                <c:pt idx="33">
                  <c:v>140.42669093597993</c:v>
                </c:pt>
                <c:pt idx="34">
                  <c:v>158.69826538328456</c:v>
                </c:pt>
                <c:pt idx="35">
                  <c:v>162.20735971508947</c:v>
                </c:pt>
                <c:pt idx="36">
                  <c:v>150.03480029099708</c:v>
                </c:pt>
                <c:pt idx="37">
                  <c:v>120.95326166838808</c:v>
                </c:pt>
                <c:pt idx="38">
                  <c:v>73.451164965504447</c:v>
                </c:pt>
                <c:pt idx="39">
                  <c:v>5.789316421897559</c:v>
                </c:pt>
                <c:pt idx="40">
                  <c:v>-36.185325558734199</c:v>
                </c:pt>
                <c:pt idx="41">
                  <c:v>-82.894538640394686</c:v>
                </c:pt>
                <c:pt idx="42">
                  <c:v>-83.906813436580123</c:v>
                </c:pt>
                <c:pt idx="43">
                  <c:v>-83.906813436580123</c:v>
                </c:pt>
                <c:pt idx="44">
                  <c:v>-83.906813436580123</c:v>
                </c:pt>
                <c:pt idx="45">
                  <c:v>-83.906813436580123</c:v>
                </c:pt>
                <c:pt idx="46">
                  <c:v>-83.906813436580123</c:v>
                </c:pt>
                <c:pt idx="47">
                  <c:v>-83.906813436580123</c:v>
                </c:pt>
                <c:pt idx="48">
                  <c:v>-83.906813436580123</c:v>
                </c:pt>
                <c:pt idx="49">
                  <c:v>-83.906813436580123</c:v>
                </c:pt>
                <c:pt idx="50">
                  <c:v>-83.906813436580123</c:v>
                </c:pt>
                <c:pt idx="51">
                  <c:v>-83.906813436580123</c:v>
                </c:pt>
                <c:pt idx="52">
                  <c:v>-83.906813436580123</c:v>
                </c:pt>
                <c:pt idx="53">
                  <c:v>-83.906813436580123</c:v>
                </c:pt>
                <c:pt idx="54">
                  <c:v>-83.906813436580123</c:v>
                </c:pt>
                <c:pt idx="55">
                  <c:v>-83.906813436580123</c:v>
                </c:pt>
                <c:pt idx="56">
                  <c:v>-83.906813436580123</c:v>
                </c:pt>
                <c:pt idx="57">
                  <c:v>-83.906813436580123</c:v>
                </c:pt>
                <c:pt idx="58">
                  <c:v>-83.906813436580123</c:v>
                </c:pt>
                <c:pt idx="59">
                  <c:v>-83.906813436580123</c:v>
                </c:pt>
                <c:pt idx="60">
                  <c:v>-83.906813436580123</c:v>
                </c:pt>
                <c:pt idx="61">
                  <c:v>-83.906813436580123</c:v>
                </c:pt>
                <c:pt idx="62">
                  <c:v>-83.906813436580123</c:v>
                </c:pt>
                <c:pt idx="63">
                  <c:v>-83.906813436580123</c:v>
                </c:pt>
                <c:pt idx="64">
                  <c:v>-83.906813436580123</c:v>
                </c:pt>
                <c:pt idx="65">
                  <c:v>-83.906813436580123</c:v>
                </c:pt>
                <c:pt idx="66">
                  <c:v>-83.906813436580123</c:v>
                </c:pt>
                <c:pt idx="67">
                  <c:v>-83.906813436580123</c:v>
                </c:pt>
                <c:pt idx="68">
                  <c:v>-83.906813436580123</c:v>
                </c:pt>
                <c:pt idx="69">
                  <c:v>-83.906813436580123</c:v>
                </c:pt>
                <c:pt idx="70">
                  <c:v>-83.906813436580123</c:v>
                </c:pt>
                <c:pt idx="71">
                  <c:v>-83.906813436580123</c:v>
                </c:pt>
                <c:pt idx="72">
                  <c:v>-83.906813436580123</c:v>
                </c:pt>
                <c:pt idx="73">
                  <c:v>-83.906813436580123</c:v>
                </c:pt>
                <c:pt idx="74">
                  <c:v>-83.906813436580123</c:v>
                </c:pt>
                <c:pt idx="75">
                  <c:v>-83.906813436580123</c:v>
                </c:pt>
                <c:pt idx="76">
                  <c:v>-83.906813436580123</c:v>
                </c:pt>
                <c:pt idx="77">
                  <c:v>-83.906813436580123</c:v>
                </c:pt>
                <c:pt idx="78">
                  <c:v>-83.906813436580123</c:v>
                </c:pt>
                <c:pt idx="79">
                  <c:v>-83.906813436580123</c:v>
                </c:pt>
                <c:pt idx="80">
                  <c:v>-83.906813436580123</c:v>
                </c:pt>
                <c:pt idx="81">
                  <c:v>-83.906813436580123</c:v>
                </c:pt>
                <c:pt idx="82">
                  <c:v>-83.906813436580123</c:v>
                </c:pt>
                <c:pt idx="83">
                  <c:v>-83.906813436580123</c:v>
                </c:pt>
                <c:pt idx="84">
                  <c:v>-83.906813436580123</c:v>
                </c:pt>
                <c:pt idx="85">
                  <c:v>-83.906813436580123</c:v>
                </c:pt>
                <c:pt idx="86">
                  <c:v>-83.906813436580123</c:v>
                </c:pt>
                <c:pt idx="87">
                  <c:v>-83.906813436580123</c:v>
                </c:pt>
                <c:pt idx="88">
                  <c:v>-83.906813436580123</c:v>
                </c:pt>
                <c:pt idx="89">
                  <c:v>-83.906813436580123</c:v>
                </c:pt>
                <c:pt idx="90">
                  <c:v>-83.906813436580123</c:v>
                </c:pt>
                <c:pt idx="91">
                  <c:v>-83.906813436580123</c:v>
                </c:pt>
                <c:pt idx="92">
                  <c:v>-83.906813436580123</c:v>
                </c:pt>
                <c:pt idx="93">
                  <c:v>-83.906813436580123</c:v>
                </c:pt>
                <c:pt idx="94">
                  <c:v>-83.906813436580123</c:v>
                </c:pt>
                <c:pt idx="95">
                  <c:v>-83.906813436580123</c:v>
                </c:pt>
                <c:pt idx="96">
                  <c:v>-83.906813436580123</c:v>
                </c:pt>
                <c:pt idx="97">
                  <c:v>-83.906813436580123</c:v>
                </c:pt>
                <c:pt idx="98">
                  <c:v>-83.906813436580123</c:v>
                </c:pt>
                <c:pt idx="99">
                  <c:v>-83.743589248952389</c:v>
                </c:pt>
                <c:pt idx="100">
                  <c:v>-75.929389536671223</c:v>
                </c:pt>
                <c:pt idx="101">
                  <c:v>-68.329394670527194</c:v>
                </c:pt>
                <c:pt idx="102">
                  <c:v>-54.275837858684795</c:v>
                </c:pt>
                <c:pt idx="103">
                  <c:v>-41.77413247196565</c:v>
                </c:pt>
                <c:pt idx="104">
                  <c:v>-30.851856662206117</c:v>
                </c:pt>
                <c:pt idx="105">
                  <c:v>-21.53627151995175</c:v>
                </c:pt>
                <c:pt idx="106">
                  <c:v>-13.854403420005195</c:v>
                </c:pt>
                <c:pt idx="107">
                  <c:v>-7.8331142490167327</c:v>
                </c:pt>
                <c:pt idx="108">
                  <c:v>-3.4991593111878667</c:v>
                </c:pt>
                <c:pt idx="109">
                  <c:v>-0.87923270941335718</c:v>
                </c:pt>
                <c:pt idx="110">
                  <c:v>-0.22036350732875479</c:v>
                </c:pt>
                <c:pt idx="111">
                  <c:v>-8.8363095055003142E-5</c:v>
                </c:pt>
                <c:pt idx="112">
                  <c:v>-4.3477499310554143E-12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'Erweiterte Anwendung'!$O$2:$O$3</c:f>
              <c:strCache>
                <c:ptCount val="1"/>
                <c:pt idx="0">
                  <c:v>LK 2 F1 Max</c:v>
                </c:pt>
              </c:strCache>
            </c:strRef>
          </c:tx>
          <c:marker>
            <c:symbol val="none"/>
          </c:marker>
          <c:xVal>
            <c:numRef>
              <c:f>'Erweiterte Anwendung'!$M$4:$M$760</c:f>
              <c:numCache>
                <c:formatCode>General</c:formatCode>
                <c:ptCount val="757"/>
                <c:pt idx="0">
                  <c:v>0</c:v>
                </c:pt>
                <c:pt idx="1">
                  <c:v>1E-3</c:v>
                </c:pt>
                <c:pt idx="2">
                  <c:v>0.05</c:v>
                </c:pt>
                <c:pt idx="3">
                  <c:v>0.1</c:v>
                </c:pt>
                <c:pt idx="4">
                  <c:v>0.2</c:v>
                </c:pt>
                <c:pt idx="5">
                  <c:v>0.30000000000000004</c:v>
                </c:pt>
                <c:pt idx="6">
                  <c:v>0.4</c:v>
                </c:pt>
                <c:pt idx="7">
                  <c:v>0.5</c:v>
                </c:pt>
                <c:pt idx="8">
                  <c:v>0.60000000000000009</c:v>
                </c:pt>
                <c:pt idx="9">
                  <c:v>0.70000000000000007</c:v>
                </c:pt>
                <c:pt idx="10">
                  <c:v>0.8</c:v>
                </c:pt>
                <c:pt idx="11">
                  <c:v>0.9</c:v>
                </c:pt>
                <c:pt idx="12">
                  <c:v>0.95000000000000007</c:v>
                </c:pt>
                <c:pt idx="13">
                  <c:v>0.99900000000000011</c:v>
                </c:pt>
                <c:pt idx="14">
                  <c:v>1</c:v>
                </c:pt>
                <c:pt idx="15">
                  <c:v>1.004</c:v>
                </c:pt>
                <c:pt idx="16">
                  <c:v>1.2</c:v>
                </c:pt>
                <c:pt idx="17">
                  <c:v>1.4</c:v>
                </c:pt>
                <c:pt idx="18">
                  <c:v>1.8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3.4000000000000004</c:v>
                </c:pt>
                <c:pt idx="23">
                  <c:v>3.8000000000000003</c:v>
                </c:pt>
                <c:pt idx="24">
                  <c:v>4.2</c:v>
                </c:pt>
                <c:pt idx="25">
                  <c:v>4.5999999999999996</c:v>
                </c:pt>
                <c:pt idx="26">
                  <c:v>4.8000000000000007</c:v>
                </c:pt>
                <c:pt idx="27">
                  <c:v>4.9960000000000004</c:v>
                </c:pt>
                <c:pt idx="28">
                  <c:v>5</c:v>
                </c:pt>
                <c:pt idx="29">
                  <c:v>5.0039999999999996</c:v>
                </c:pt>
                <c:pt idx="30">
                  <c:v>5.2</c:v>
                </c:pt>
                <c:pt idx="31">
                  <c:v>5.4</c:v>
                </c:pt>
                <c:pt idx="32">
                  <c:v>5.8</c:v>
                </c:pt>
                <c:pt idx="33">
                  <c:v>6.2</c:v>
                </c:pt>
                <c:pt idx="34">
                  <c:v>6.6</c:v>
                </c:pt>
                <c:pt idx="35">
                  <c:v>7</c:v>
                </c:pt>
                <c:pt idx="36">
                  <c:v>7.4</c:v>
                </c:pt>
                <c:pt idx="37">
                  <c:v>7.8000000000000007</c:v>
                </c:pt>
                <c:pt idx="38">
                  <c:v>8.1999999999999993</c:v>
                </c:pt>
                <c:pt idx="39">
                  <c:v>8.6</c:v>
                </c:pt>
                <c:pt idx="40">
                  <c:v>8.8000000000000007</c:v>
                </c:pt>
                <c:pt idx="41">
                  <c:v>8.9960000000000004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9</c:v>
                </c:pt>
                <c:pt idx="85">
                  <c:v>9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  <c:pt idx="93">
                  <c:v>9</c:v>
                </c:pt>
                <c:pt idx="94">
                  <c:v>9</c:v>
                </c:pt>
                <c:pt idx="95">
                  <c:v>9</c:v>
                </c:pt>
                <c:pt idx="96">
                  <c:v>9</c:v>
                </c:pt>
                <c:pt idx="97">
                  <c:v>9</c:v>
                </c:pt>
                <c:pt idx="98">
                  <c:v>9</c:v>
                </c:pt>
                <c:pt idx="99">
                  <c:v>9.0009999999999994</c:v>
                </c:pt>
                <c:pt idx="100">
                  <c:v>9.0500000000000007</c:v>
                </c:pt>
                <c:pt idx="101">
                  <c:v>9.1</c:v>
                </c:pt>
                <c:pt idx="102">
                  <c:v>9.1999999999999993</c:v>
                </c:pt>
                <c:pt idx="103">
                  <c:v>9.3000000000000007</c:v>
                </c:pt>
                <c:pt idx="104">
                  <c:v>9.4</c:v>
                </c:pt>
                <c:pt idx="105">
                  <c:v>9.5</c:v>
                </c:pt>
                <c:pt idx="106">
                  <c:v>9.6</c:v>
                </c:pt>
                <c:pt idx="107">
                  <c:v>9.6999999999999993</c:v>
                </c:pt>
                <c:pt idx="108">
                  <c:v>9.8000000000000007</c:v>
                </c:pt>
                <c:pt idx="109">
                  <c:v>9.9</c:v>
                </c:pt>
                <c:pt idx="110">
                  <c:v>9.9499999999999993</c:v>
                </c:pt>
                <c:pt idx="111">
                  <c:v>9.9990000000000006</c:v>
                </c:pt>
                <c:pt idx="112">
                  <c:v>10</c:v>
                </c:pt>
              </c:numCache>
            </c:numRef>
          </c:xVal>
          <c:yVal>
            <c:numRef>
              <c:f>'Erweiterte Anwendung'!$O$4:$O$760</c:f>
              <c:numCache>
                <c:formatCode>0</c:formatCode>
                <c:ptCount val="757"/>
                <c:pt idx="0">
                  <c:v>2.318545876010266E-14</c:v>
                </c:pt>
                <c:pt idx="1">
                  <c:v>-1.2068681027259936E-4</c:v>
                </c:pt>
                <c:pt idx="2">
                  <c:v>-0.30094786990536398</c:v>
                </c:pt>
                <c:pt idx="3">
                  <c:v>-1.2006520468457258</c:v>
                </c:pt>
                <c:pt idx="4">
                  <c:v>-4.7774914041922196</c:v>
                </c:pt>
                <c:pt idx="5">
                  <c:v>-10.692831609691435</c:v>
                </c:pt>
                <c:pt idx="6">
                  <c:v>-18.908947227762216</c:v>
                </c:pt>
                <c:pt idx="7">
                  <c:v>-29.388029281344213</c:v>
                </c:pt>
                <c:pt idx="8">
                  <c:v>-42.092123330464723</c:v>
                </c:pt>
                <c:pt idx="9">
                  <c:v>-56.983050482863732</c:v>
                </c:pt>
                <c:pt idx="10">
                  <c:v>-74.022311623043606</c:v>
                </c:pt>
                <c:pt idx="11">
                  <c:v>-93.170975147823341</c:v>
                </c:pt>
                <c:pt idx="12">
                  <c:v>-103.52401713262795</c:v>
                </c:pt>
                <c:pt idx="13">
                  <c:v>-114.16724803999676</c:v>
                </c:pt>
                <c:pt idx="14">
                  <c:v>-114.3895484989114</c:v>
                </c:pt>
                <c:pt idx="15">
                  <c:v>-113.11411304579968</c:v>
                </c:pt>
                <c:pt idx="16">
                  <c:v>-54.541543412473487</c:v>
                </c:pt>
                <c:pt idx="17">
                  <c:v>-2.4817553843088525</c:v>
                </c:pt>
                <c:pt idx="18">
                  <c:v>79.619634747877328</c:v>
                </c:pt>
                <c:pt idx="19">
                  <c:v>134.58056486967519</c:v>
                </c:pt>
                <c:pt idx="20">
                  <c:v>164.92197828505414</c:v>
                </c:pt>
                <c:pt idx="21">
                  <c:v>172.91288599487555</c:v>
                </c:pt>
                <c:pt idx="22">
                  <c:v>160.51105175852143</c:v>
                </c:pt>
                <c:pt idx="23">
                  <c:v>129.34693281760246</c:v>
                </c:pt>
                <c:pt idx="24">
                  <c:v>80.747101299259214</c:v>
                </c:pt>
                <c:pt idx="25">
                  <c:v>15.793990591580371</c:v>
                </c:pt>
                <c:pt idx="26">
                  <c:v>-22.521190059785017</c:v>
                </c:pt>
                <c:pt idx="27">
                  <c:v>-63.703456340095165</c:v>
                </c:pt>
                <c:pt idx="28">
                  <c:v>-64.580613949045102</c:v>
                </c:pt>
                <c:pt idx="29">
                  <c:v>-63.959224128965353</c:v>
                </c:pt>
                <c:pt idx="30">
                  <c:v>-35.270890274746762</c:v>
                </c:pt>
                <c:pt idx="31">
                  <c:v>-9.4728736183958411</c:v>
                </c:pt>
                <c:pt idx="32">
                  <c:v>32.082838126035213</c:v>
                </c:pt>
                <c:pt idx="33">
                  <c:v>61.072386121748671</c:v>
                </c:pt>
                <c:pt idx="34">
                  <c:v>78.423731903409774</c:v>
                </c:pt>
                <c:pt idx="35">
                  <c:v>84.950660574932286</c:v>
                </c:pt>
                <c:pt idx="36">
                  <c:v>81.319016060915303</c:v>
                </c:pt>
                <c:pt idx="37">
                  <c:v>68.0338843052443</c:v>
                </c:pt>
                <c:pt idx="38">
                  <c:v>45.446442895864642</c:v>
                </c:pt>
                <c:pt idx="39">
                  <c:v>13.779499665673605</c:v>
                </c:pt>
                <c:pt idx="40">
                  <c:v>-5.4139050217853075</c:v>
                </c:pt>
                <c:pt idx="41">
                  <c:v>-26.378979633223182</c:v>
                </c:pt>
                <c:pt idx="42">
                  <c:v>-26.828966020636535</c:v>
                </c:pt>
                <c:pt idx="43">
                  <c:v>-26.828966020636535</c:v>
                </c:pt>
                <c:pt idx="44">
                  <c:v>-26.828966020636535</c:v>
                </c:pt>
                <c:pt idx="45">
                  <c:v>-26.828966020636535</c:v>
                </c:pt>
                <c:pt idx="46">
                  <c:v>-26.828966020636535</c:v>
                </c:pt>
                <c:pt idx="47">
                  <c:v>-26.828966020636535</c:v>
                </c:pt>
                <c:pt idx="48">
                  <c:v>-26.828966020636535</c:v>
                </c:pt>
                <c:pt idx="49">
                  <c:v>-26.828966020636535</c:v>
                </c:pt>
                <c:pt idx="50">
                  <c:v>-26.828966020636535</c:v>
                </c:pt>
                <c:pt idx="51">
                  <c:v>-26.828966020636535</c:v>
                </c:pt>
                <c:pt idx="52">
                  <c:v>-26.828966020636535</c:v>
                </c:pt>
                <c:pt idx="53">
                  <c:v>-26.828966020636535</c:v>
                </c:pt>
                <c:pt idx="54">
                  <c:v>-26.828966020636535</c:v>
                </c:pt>
                <c:pt idx="55">
                  <c:v>-26.828966020636535</c:v>
                </c:pt>
                <c:pt idx="56">
                  <c:v>-26.828966020636535</c:v>
                </c:pt>
                <c:pt idx="57">
                  <c:v>-26.828966020636535</c:v>
                </c:pt>
                <c:pt idx="58">
                  <c:v>-26.828966020636535</c:v>
                </c:pt>
                <c:pt idx="59">
                  <c:v>-26.828966020636535</c:v>
                </c:pt>
                <c:pt idx="60">
                  <c:v>-26.828966020636535</c:v>
                </c:pt>
                <c:pt idx="61">
                  <c:v>-26.828966020636535</c:v>
                </c:pt>
                <c:pt idx="62">
                  <c:v>-26.828966020636535</c:v>
                </c:pt>
                <c:pt idx="63">
                  <c:v>-26.828966020636535</c:v>
                </c:pt>
                <c:pt idx="64">
                  <c:v>-26.828966020636535</c:v>
                </c:pt>
                <c:pt idx="65">
                  <c:v>-26.828966020636535</c:v>
                </c:pt>
                <c:pt idx="66">
                  <c:v>-26.828966020636535</c:v>
                </c:pt>
                <c:pt idx="67">
                  <c:v>-26.828966020636535</c:v>
                </c:pt>
                <c:pt idx="68">
                  <c:v>-26.828966020636535</c:v>
                </c:pt>
                <c:pt idx="69">
                  <c:v>-26.828966020636535</c:v>
                </c:pt>
                <c:pt idx="70">
                  <c:v>-26.828966020636535</c:v>
                </c:pt>
                <c:pt idx="71">
                  <c:v>-26.828966020636535</c:v>
                </c:pt>
                <c:pt idx="72">
                  <c:v>-26.828966020636535</c:v>
                </c:pt>
                <c:pt idx="73">
                  <c:v>-26.828966020636535</c:v>
                </c:pt>
                <c:pt idx="74">
                  <c:v>-26.828966020636535</c:v>
                </c:pt>
                <c:pt idx="75">
                  <c:v>-26.828966020636535</c:v>
                </c:pt>
                <c:pt idx="76">
                  <c:v>-26.828966020636535</c:v>
                </c:pt>
                <c:pt idx="77">
                  <c:v>-26.828966020636535</c:v>
                </c:pt>
                <c:pt idx="78">
                  <c:v>-26.828966020636535</c:v>
                </c:pt>
                <c:pt idx="79">
                  <c:v>-26.828966020636535</c:v>
                </c:pt>
                <c:pt idx="80">
                  <c:v>-26.828966020636535</c:v>
                </c:pt>
                <c:pt idx="81">
                  <c:v>-26.828966020636535</c:v>
                </c:pt>
                <c:pt idx="82">
                  <c:v>-26.828966020636535</c:v>
                </c:pt>
                <c:pt idx="83">
                  <c:v>-26.828966020636535</c:v>
                </c:pt>
                <c:pt idx="84">
                  <c:v>-26.828966020636535</c:v>
                </c:pt>
                <c:pt idx="85">
                  <c:v>-26.828966020636535</c:v>
                </c:pt>
                <c:pt idx="86">
                  <c:v>-26.828966020636535</c:v>
                </c:pt>
                <c:pt idx="87">
                  <c:v>-26.828966020636535</c:v>
                </c:pt>
                <c:pt idx="88">
                  <c:v>-26.828966020636535</c:v>
                </c:pt>
                <c:pt idx="89">
                  <c:v>-26.828966020636535</c:v>
                </c:pt>
                <c:pt idx="90">
                  <c:v>-26.828966020636535</c:v>
                </c:pt>
                <c:pt idx="91">
                  <c:v>-26.828966020636535</c:v>
                </c:pt>
                <c:pt idx="92">
                  <c:v>-26.828966020636535</c:v>
                </c:pt>
                <c:pt idx="93">
                  <c:v>-26.828966020636535</c:v>
                </c:pt>
                <c:pt idx="94">
                  <c:v>-26.828966020636535</c:v>
                </c:pt>
                <c:pt idx="95">
                  <c:v>-26.828966020636535</c:v>
                </c:pt>
                <c:pt idx="96">
                  <c:v>-26.828966020636535</c:v>
                </c:pt>
                <c:pt idx="97">
                  <c:v>-26.828966020636535</c:v>
                </c:pt>
                <c:pt idx="98">
                  <c:v>-26.828966020636535</c:v>
                </c:pt>
                <c:pt idx="99">
                  <c:v>-26.774933949812201</c:v>
                </c:pt>
                <c:pt idx="100">
                  <c:v>-24.194940183113559</c:v>
                </c:pt>
                <c:pt idx="101">
                  <c:v>-21.698667540290025</c:v>
                </c:pt>
                <c:pt idx="102">
                  <c:v>-17.118365676000327</c:v>
                </c:pt>
                <c:pt idx="103">
                  <c:v>-13.085932314129723</c:v>
                </c:pt>
                <c:pt idx="104">
                  <c:v>-9.5991095393348616</c:v>
                </c:pt>
                <c:pt idx="105">
                  <c:v>-6.6555400514984244</c:v>
                </c:pt>
                <c:pt idx="106">
                  <c:v>-4.252793467590684</c:v>
                </c:pt>
                <c:pt idx="107">
                  <c:v>-2.3883885262068012</c:v>
                </c:pt>
                <c:pt idx="108">
                  <c:v>-1.059811213083085</c:v>
                </c:pt>
                <c:pt idx="109">
                  <c:v>-0.26452882628438018</c:v>
                </c:pt>
                <c:pt idx="110">
                  <c:v>-6.6079200359536155E-2</c:v>
                </c:pt>
                <c:pt idx="111">
                  <c:v>-2.6410906814757016E-5</c:v>
                </c:pt>
                <c:pt idx="112">
                  <c:v>-5.5761028318046891E-12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'Erweiterte Anwendung'!$P$2:$P$3</c:f>
              <c:strCache>
                <c:ptCount val="1"/>
                <c:pt idx="0">
                  <c:v>LK 3 F2 Max</c:v>
                </c:pt>
              </c:strCache>
            </c:strRef>
          </c:tx>
          <c:marker>
            <c:symbol val="none"/>
          </c:marker>
          <c:xVal>
            <c:numRef>
              <c:f>'Erweiterte Anwendung'!$M$4:$M$760</c:f>
              <c:numCache>
                <c:formatCode>General</c:formatCode>
                <c:ptCount val="757"/>
                <c:pt idx="0">
                  <c:v>0</c:v>
                </c:pt>
                <c:pt idx="1">
                  <c:v>1E-3</c:v>
                </c:pt>
                <c:pt idx="2">
                  <c:v>0.05</c:v>
                </c:pt>
                <c:pt idx="3">
                  <c:v>0.1</c:v>
                </c:pt>
                <c:pt idx="4">
                  <c:v>0.2</c:v>
                </c:pt>
                <c:pt idx="5">
                  <c:v>0.30000000000000004</c:v>
                </c:pt>
                <c:pt idx="6">
                  <c:v>0.4</c:v>
                </c:pt>
                <c:pt idx="7">
                  <c:v>0.5</c:v>
                </c:pt>
                <c:pt idx="8">
                  <c:v>0.60000000000000009</c:v>
                </c:pt>
                <c:pt idx="9">
                  <c:v>0.70000000000000007</c:v>
                </c:pt>
                <c:pt idx="10">
                  <c:v>0.8</c:v>
                </c:pt>
                <c:pt idx="11">
                  <c:v>0.9</c:v>
                </c:pt>
                <c:pt idx="12">
                  <c:v>0.95000000000000007</c:v>
                </c:pt>
                <c:pt idx="13">
                  <c:v>0.99900000000000011</c:v>
                </c:pt>
                <c:pt idx="14">
                  <c:v>1</c:v>
                </c:pt>
                <c:pt idx="15">
                  <c:v>1.004</c:v>
                </c:pt>
                <c:pt idx="16">
                  <c:v>1.2</c:v>
                </c:pt>
                <c:pt idx="17">
                  <c:v>1.4</c:v>
                </c:pt>
                <c:pt idx="18">
                  <c:v>1.8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3.4000000000000004</c:v>
                </c:pt>
                <c:pt idx="23">
                  <c:v>3.8000000000000003</c:v>
                </c:pt>
                <c:pt idx="24">
                  <c:v>4.2</c:v>
                </c:pt>
                <c:pt idx="25">
                  <c:v>4.5999999999999996</c:v>
                </c:pt>
                <c:pt idx="26">
                  <c:v>4.8000000000000007</c:v>
                </c:pt>
                <c:pt idx="27">
                  <c:v>4.9960000000000004</c:v>
                </c:pt>
                <c:pt idx="28">
                  <c:v>5</c:v>
                </c:pt>
                <c:pt idx="29">
                  <c:v>5.0039999999999996</c:v>
                </c:pt>
                <c:pt idx="30">
                  <c:v>5.2</c:v>
                </c:pt>
                <c:pt idx="31">
                  <c:v>5.4</c:v>
                </c:pt>
                <c:pt idx="32">
                  <c:v>5.8</c:v>
                </c:pt>
                <c:pt idx="33">
                  <c:v>6.2</c:v>
                </c:pt>
                <c:pt idx="34">
                  <c:v>6.6</c:v>
                </c:pt>
                <c:pt idx="35">
                  <c:v>7</c:v>
                </c:pt>
                <c:pt idx="36">
                  <c:v>7.4</c:v>
                </c:pt>
                <c:pt idx="37">
                  <c:v>7.8000000000000007</c:v>
                </c:pt>
                <c:pt idx="38">
                  <c:v>8.1999999999999993</c:v>
                </c:pt>
                <c:pt idx="39">
                  <c:v>8.6</c:v>
                </c:pt>
                <c:pt idx="40">
                  <c:v>8.8000000000000007</c:v>
                </c:pt>
                <c:pt idx="41">
                  <c:v>8.9960000000000004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9</c:v>
                </c:pt>
                <c:pt idx="85">
                  <c:v>9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  <c:pt idx="93">
                  <c:v>9</c:v>
                </c:pt>
                <c:pt idx="94">
                  <c:v>9</c:v>
                </c:pt>
                <c:pt idx="95">
                  <c:v>9</c:v>
                </c:pt>
                <c:pt idx="96">
                  <c:v>9</c:v>
                </c:pt>
                <c:pt idx="97">
                  <c:v>9</c:v>
                </c:pt>
                <c:pt idx="98">
                  <c:v>9</c:v>
                </c:pt>
                <c:pt idx="99">
                  <c:v>9.0009999999999994</c:v>
                </c:pt>
                <c:pt idx="100">
                  <c:v>9.0500000000000007</c:v>
                </c:pt>
                <c:pt idx="101">
                  <c:v>9.1</c:v>
                </c:pt>
                <c:pt idx="102">
                  <c:v>9.1999999999999993</c:v>
                </c:pt>
                <c:pt idx="103">
                  <c:v>9.3000000000000007</c:v>
                </c:pt>
                <c:pt idx="104">
                  <c:v>9.4</c:v>
                </c:pt>
                <c:pt idx="105">
                  <c:v>9.5</c:v>
                </c:pt>
                <c:pt idx="106">
                  <c:v>9.6</c:v>
                </c:pt>
                <c:pt idx="107">
                  <c:v>9.6999999999999993</c:v>
                </c:pt>
                <c:pt idx="108">
                  <c:v>9.8000000000000007</c:v>
                </c:pt>
                <c:pt idx="109">
                  <c:v>9.9</c:v>
                </c:pt>
                <c:pt idx="110">
                  <c:v>9.9499999999999993</c:v>
                </c:pt>
                <c:pt idx="111">
                  <c:v>9.9990000000000006</c:v>
                </c:pt>
                <c:pt idx="112">
                  <c:v>10</c:v>
                </c:pt>
              </c:numCache>
            </c:numRef>
          </c:xVal>
          <c:yVal>
            <c:numRef>
              <c:f>'Erweiterte Anwendung'!$P$4:$P$760</c:f>
              <c:numCache>
                <c:formatCode>0</c:formatCode>
                <c:ptCount val="757"/>
                <c:pt idx="0">
                  <c:v>2.5885135465046115E-14</c:v>
                </c:pt>
                <c:pt idx="1">
                  <c:v>-4.9331122118098917E-5</c:v>
                </c:pt>
                <c:pt idx="2">
                  <c:v>-0.12324704998578395</c:v>
                </c:pt>
                <c:pt idx="3">
                  <c:v>-0.49265857770724814</c:v>
                </c:pt>
                <c:pt idx="4">
                  <c:v>-1.9679967910147211</c:v>
                </c:pt>
                <c:pt idx="5">
                  <c:v>-4.4220537188103783</c:v>
                </c:pt>
                <c:pt idx="6">
                  <c:v>-7.8508523663185104</c:v>
                </c:pt>
                <c:pt idx="7">
                  <c:v>-12.250381160699895</c:v>
                </c:pt>
                <c:pt idx="8">
                  <c:v>-17.616568094836037</c:v>
                </c:pt>
                <c:pt idx="9">
                  <c:v>-23.945247549585751</c:v>
                </c:pt>
                <c:pt idx="10">
                  <c:v>-31.232119825268637</c:v>
                </c:pt>
                <c:pt idx="11">
                  <c:v>-39.472703413845515</c:v>
                </c:pt>
                <c:pt idx="12">
                  <c:v>-43.949173389657346</c:v>
                </c:pt>
                <c:pt idx="13">
                  <c:v>-48.565702955341131</c:v>
                </c:pt>
                <c:pt idx="14">
                  <c:v>-48.662280044284408</c:v>
                </c:pt>
                <c:pt idx="15">
                  <c:v>-48.049532354652726</c:v>
                </c:pt>
                <c:pt idx="16">
                  <c:v>-19.868025771362316</c:v>
                </c:pt>
                <c:pt idx="17">
                  <c:v>5.1942064653027122</c:v>
                </c:pt>
                <c:pt idx="18">
                  <c:v>44.305995673029585</c:v>
                </c:pt>
                <c:pt idx="19">
                  <c:v>69.019298492175835</c:v>
                </c:pt>
                <c:pt idx="20">
                  <c:v>79.599411089740315</c:v>
                </c:pt>
                <c:pt idx="21">
                  <c:v>76.182911802146265</c:v>
                </c:pt>
                <c:pt idx="22">
                  <c:v>58.757188560380747</c:v>
                </c:pt>
                <c:pt idx="23">
                  <c:v>27.167039700351619</c:v>
                </c:pt>
                <c:pt idx="24">
                  <c:v>-18.851629613700318</c:v>
                </c:pt>
                <c:pt idx="25">
                  <c:v>-79.610726525170605</c:v>
                </c:pt>
                <c:pt idx="26">
                  <c:v>-115.60716956465043</c:v>
                </c:pt>
                <c:pt idx="27">
                  <c:v>-154.5484389999649</c:v>
                </c:pt>
                <c:pt idx="28">
                  <c:v>-155.38101490888349</c:v>
                </c:pt>
                <c:pt idx="29">
                  <c:v>-154.54843899996501</c:v>
                </c:pt>
                <c:pt idx="30">
                  <c:v>-115.60716956465021</c:v>
                </c:pt>
                <c:pt idx="31">
                  <c:v>-79.610726525170364</c:v>
                </c:pt>
                <c:pt idx="32">
                  <c:v>-18.851629613699942</c:v>
                </c:pt>
                <c:pt idx="33">
                  <c:v>27.167039700352227</c:v>
                </c:pt>
                <c:pt idx="34">
                  <c:v>58.757188560381493</c:v>
                </c:pt>
                <c:pt idx="35">
                  <c:v>76.182911802147075</c:v>
                </c:pt>
                <c:pt idx="36">
                  <c:v>79.599411089741196</c:v>
                </c:pt>
                <c:pt idx="37">
                  <c:v>69.019298492176503</c:v>
                </c:pt>
                <c:pt idx="38">
                  <c:v>44.305995673030154</c:v>
                </c:pt>
                <c:pt idx="39">
                  <c:v>5.1942064653028588</c:v>
                </c:pt>
                <c:pt idx="40">
                  <c:v>-19.86802577136255</c:v>
                </c:pt>
                <c:pt idx="41">
                  <c:v>-48.049532354653245</c:v>
                </c:pt>
                <c:pt idx="42">
                  <c:v>-48.662280044284742</c:v>
                </c:pt>
                <c:pt idx="43">
                  <c:v>-48.662280044284742</c:v>
                </c:pt>
                <c:pt idx="44">
                  <c:v>-48.662280044284742</c:v>
                </c:pt>
                <c:pt idx="45">
                  <c:v>-48.662280044284742</c:v>
                </c:pt>
                <c:pt idx="46">
                  <c:v>-48.662280044284742</c:v>
                </c:pt>
                <c:pt idx="47">
                  <c:v>-48.662280044284742</c:v>
                </c:pt>
                <c:pt idx="48">
                  <c:v>-48.662280044284742</c:v>
                </c:pt>
                <c:pt idx="49">
                  <c:v>-48.662280044284742</c:v>
                </c:pt>
                <c:pt idx="50">
                  <c:v>-48.662280044284742</c:v>
                </c:pt>
                <c:pt idx="51">
                  <c:v>-48.662280044284742</c:v>
                </c:pt>
                <c:pt idx="52">
                  <c:v>-48.662280044284742</c:v>
                </c:pt>
                <c:pt idx="53">
                  <c:v>-48.662280044284742</c:v>
                </c:pt>
                <c:pt idx="54">
                  <c:v>-48.662280044284742</c:v>
                </c:pt>
                <c:pt idx="55">
                  <c:v>-48.662280044284742</c:v>
                </c:pt>
                <c:pt idx="56">
                  <c:v>-48.662280044284742</c:v>
                </c:pt>
                <c:pt idx="57">
                  <c:v>-48.662280044284742</c:v>
                </c:pt>
                <c:pt idx="58">
                  <c:v>-48.662280044284742</c:v>
                </c:pt>
                <c:pt idx="59">
                  <c:v>-48.662280044284742</c:v>
                </c:pt>
                <c:pt idx="60">
                  <c:v>-48.662280044284742</c:v>
                </c:pt>
                <c:pt idx="61">
                  <c:v>-48.662280044284742</c:v>
                </c:pt>
                <c:pt idx="62">
                  <c:v>-48.662280044284742</c:v>
                </c:pt>
                <c:pt idx="63">
                  <c:v>-48.662280044284742</c:v>
                </c:pt>
                <c:pt idx="64">
                  <c:v>-48.662280044284742</c:v>
                </c:pt>
                <c:pt idx="65">
                  <c:v>-48.662280044284742</c:v>
                </c:pt>
                <c:pt idx="66">
                  <c:v>-48.662280044284742</c:v>
                </c:pt>
                <c:pt idx="67">
                  <c:v>-48.662280044284742</c:v>
                </c:pt>
                <c:pt idx="68">
                  <c:v>-48.662280044284742</c:v>
                </c:pt>
                <c:pt idx="69">
                  <c:v>-48.662280044284742</c:v>
                </c:pt>
                <c:pt idx="70">
                  <c:v>-48.662280044284742</c:v>
                </c:pt>
                <c:pt idx="71">
                  <c:v>-48.662280044284742</c:v>
                </c:pt>
                <c:pt idx="72">
                  <c:v>-48.662280044284742</c:v>
                </c:pt>
                <c:pt idx="73">
                  <c:v>-48.662280044284742</c:v>
                </c:pt>
                <c:pt idx="74">
                  <c:v>-48.662280044284742</c:v>
                </c:pt>
                <c:pt idx="75">
                  <c:v>-48.662280044284742</c:v>
                </c:pt>
                <c:pt idx="76">
                  <c:v>-48.662280044284742</c:v>
                </c:pt>
                <c:pt idx="77">
                  <c:v>-48.662280044284742</c:v>
                </c:pt>
                <c:pt idx="78">
                  <c:v>-48.662280044284742</c:v>
                </c:pt>
                <c:pt idx="79">
                  <c:v>-48.662280044284742</c:v>
                </c:pt>
                <c:pt idx="80">
                  <c:v>-48.662280044284742</c:v>
                </c:pt>
                <c:pt idx="81">
                  <c:v>-48.662280044284742</c:v>
                </c:pt>
                <c:pt idx="82">
                  <c:v>-48.662280044284742</c:v>
                </c:pt>
                <c:pt idx="83">
                  <c:v>-48.662280044284742</c:v>
                </c:pt>
                <c:pt idx="84">
                  <c:v>-48.662280044284742</c:v>
                </c:pt>
                <c:pt idx="85">
                  <c:v>-48.662280044284742</c:v>
                </c:pt>
                <c:pt idx="86">
                  <c:v>-48.662280044284742</c:v>
                </c:pt>
                <c:pt idx="87">
                  <c:v>-48.662280044284742</c:v>
                </c:pt>
                <c:pt idx="88">
                  <c:v>-48.662280044284742</c:v>
                </c:pt>
                <c:pt idx="89">
                  <c:v>-48.662280044284742</c:v>
                </c:pt>
                <c:pt idx="90">
                  <c:v>-48.662280044284742</c:v>
                </c:pt>
                <c:pt idx="91">
                  <c:v>-48.662280044284742</c:v>
                </c:pt>
                <c:pt idx="92">
                  <c:v>-48.662280044284742</c:v>
                </c:pt>
                <c:pt idx="93">
                  <c:v>-48.662280044284742</c:v>
                </c:pt>
                <c:pt idx="94">
                  <c:v>-48.662280044284742</c:v>
                </c:pt>
                <c:pt idx="95">
                  <c:v>-48.662280044284742</c:v>
                </c:pt>
                <c:pt idx="96">
                  <c:v>-48.662280044284742</c:v>
                </c:pt>
                <c:pt idx="97">
                  <c:v>-48.662280044284742</c:v>
                </c:pt>
                <c:pt idx="98">
                  <c:v>-48.662280044284742</c:v>
                </c:pt>
                <c:pt idx="99">
                  <c:v>-48.565702955341514</c:v>
                </c:pt>
                <c:pt idx="100">
                  <c:v>-43.949173389657716</c:v>
                </c:pt>
                <c:pt idx="101">
                  <c:v>-39.472703413846126</c:v>
                </c:pt>
                <c:pt idx="102">
                  <c:v>-31.232119825269425</c:v>
                </c:pt>
                <c:pt idx="103">
                  <c:v>-23.945247549586611</c:v>
                </c:pt>
                <c:pt idx="104">
                  <c:v>-17.616568094837191</c:v>
                </c:pt>
                <c:pt idx="105">
                  <c:v>-12.250381160701286</c:v>
                </c:pt>
                <c:pt idx="106">
                  <c:v>-7.850852366320149</c:v>
                </c:pt>
                <c:pt idx="107">
                  <c:v>-4.4220537188123057</c:v>
                </c:pt>
                <c:pt idx="108">
                  <c:v>-1.9679967910168306</c:v>
                </c:pt>
                <c:pt idx="109">
                  <c:v>-0.49265857770970867</c:v>
                </c:pt>
                <c:pt idx="110">
                  <c:v>-0.12324704998842607</c:v>
                </c:pt>
                <c:pt idx="111">
                  <c:v>-4.9331124821110512E-5</c:v>
                </c:pt>
                <c:pt idx="112">
                  <c:v>-2.7209565095588965E-12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'Erweiterte Anwendung'!$Q$2:$Q$3</c:f>
              <c:strCache>
                <c:ptCount val="1"/>
                <c:pt idx="0">
                  <c:v>LK 4 F3 Max</c:v>
                </c:pt>
              </c:strCache>
            </c:strRef>
          </c:tx>
          <c:marker>
            <c:symbol val="none"/>
          </c:marker>
          <c:xVal>
            <c:numRef>
              <c:f>'Erweiterte Anwendung'!$M$4:$M$760</c:f>
              <c:numCache>
                <c:formatCode>General</c:formatCode>
                <c:ptCount val="757"/>
                <c:pt idx="0">
                  <c:v>0</c:v>
                </c:pt>
                <c:pt idx="1">
                  <c:v>1E-3</c:v>
                </c:pt>
                <c:pt idx="2">
                  <c:v>0.05</c:v>
                </c:pt>
                <c:pt idx="3">
                  <c:v>0.1</c:v>
                </c:pt>
                <c:pt idx="4">
                  <c:v>0.2</c:v>
                </c:pt>
                <c:pt idx="5">
                  <c:v>0.30000000000000004</c:v>
                </c:pt>
                <c:pt idx="6">
                  <c:v>0.4</c:v>
                </c:pt>
                <c:pt idx="7">
                  <c:v>0.5</c:v>
                </c:pt>
                <c:pt idx="8">
                  <c:v>0.60000000000000009</c:v>
                </c:pt>
                <c:pt idx="9">
                  <c:v>0.70000000000000007</c:v>
                </c:pt>
                <c:pt idx="10">
                  <c:v>0.8</c:v>
                </c:pt>
                <c:pt idx="11">
                  <c:v>0.9</c:v>
                </c:pt>
                <c:pt idx="12">
                  <c:v>0.95000000000000007</c:v>
                </c:pt>
                <c:pt idx="13">
                  <c:v>0.99900000000000011</c:v>
                </c:pt>
                <c:pt idx="14">
                  <c:v>1</c:v>
                </c:pt>
                <c:pt idx="15">
                  <c:v>1.004</c:v>
                </c:pt>
                <c:pt idx="16">
                  <c:v>1.2</c:v>
                </c:pt>
                <c:pt idx="17">
                  <c:v>1.4</c:v>
                </c:pt>
                <c:pt idx="18">
                  <c:v>1.8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3.4000000000000004</c:v>
                </c:pt>
                <c:pt idx="23">
                  <c:v>3.8000000000000003</c:v>
                </c:pt>
                <c:pt idx="24">
                  <c:v>4.2</c:v>
                </c:pt>
                <c:pt idx="25">
                  <c:v>4.5999999999999996</c:v>
                </c:pt>
                <c:pt idx="26">
                  <c:v>4.8000000000000007</c:v>
                </c:pt>
                <c:pt idx="27">
                  <c:v>4.9960000000000004</c:v>
                </c:pt>
                <c:pt idx="28">
                  <c:v>5</c:v>
                </c:pt>
                <c:pt idx="29">
                  <c:v>5.0039999999999996</c:v>
                </c:pt>
                <c:pt idx="30">
                  <c:v>5.2</c:v>
                </c:pt>
                <c:pt idx="31">
                  <c:v>5.4</c:v>
                </c:pt>
                <c:pt idx="32">
                  <c:v>5.8</c:v>
                </c:pt>
                <c:pt idx="33">
                  <c:v>6.2</c:v>
                </c:pt>
                <c:pt idx="34">
                  <c:v>6.6</c:v>
                </c:pt>
                <c:pt idx="35">
                  <c:v>7</c:v>
                </c:pt>
                <c:pt idx="36">
                  <c:v>7.4</c:v>
                </c:pt>
                <c:pt idx="37">
                  <c:v>7.8000000000000007</c:v>
                </c:pt>
                <c:pt idx="38">
                  <c:v>8.1999999999999993</c:v>
                </c:pt>
                <c:pt idx="39">
                  <c:v>8.6</c:v>
                </c:pt>
                <c:pt idx="40">
                  <c:v>8.8000000000000007</c:v>
                </c:pt>
                <c:pt idx="41">
                  <c:v>8.9960000000000004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9</c:v>
                </c:pt>
                <c:pt idx="85">
                  <c:v>9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  <c:pt idx="93">
                  <c:v>9</c:v>
                </c:pt>
                <c:pt idx="94">
                  <c:v>9</c:v>
                </c:pt>
                <c:pt idx="95">
                  <c:v>9</c:v>
                </c:pt>
                <c:pt idx="96">
                  <c:v>9</c:v>
                </c:pt>
                <c:pt idx="97">
                  <c:v>9</c:v>
                </c:pt>
                <c:pt idx="98">
                  <c:v>9</c:v>
                </c:pt>
                <c:pt idx="99">
                  <c:v>9.0009999999999994</c:v>
                </c:pt>
                <c:pt idx="100">
                  <c:v>9.0500000000000007</c:v>
                </c:pt>
                <c:pt idx="101">
                  <c:v>9.1</c:v>
                </c:pt>
                <c:pt idx="102">
                  <c:v>9.1999999999999993</c:v>
                </c:pt>
                <c:pt idx="103">
                  <c:v>9.3000000000000007</c:v>
                </c:pt>
                <c:pt idx="104">
                  <c:v>9.4</c:v>
                </c:pt>
                <c:pt idx="105">
                  <c:v>9.5</c:v>
                </c:pt>
                <c:pt idx="106">
                  <c:v>9.6</c:v>
                </c:pt>
                <c:pt idx="107">
                  <c:v>9.6999999999999993</c:v>
                </c:pt>
                <c:pt idx="108">
                  <c:v>9.8000000000000007</c:v>
                </c:pt>
                <c:pt idx="109">
                  <c:v>9.9</c:v>
                </c:pt>
                <c:pt idx="110">
                  <c:v>9.9499999999999993</c:v>
                </c:pt>
                <c:pt idx="111">
                  <c:v>9.9990000000000006</c:v>
                </c:pt>
                <c:pt idx="112">
                  <c:v>10</c:v>
                </c:pt>
              </c:numCache>
            </c:numRef>
          </c:xVal>
          <c:yVal>
            <c:numRef>
              <c:f>'Erweiterte Anwendung'!$Q$4:$Q$760</c:f>
              <c:numCache>
                <c:formatCode>0</c:formatCode>
                <c:ptCount val="757"/>
                <c:pt idx="0">
                  <c:v>2.3900079064352397E-14</c:v>
                </c:pt>
                <c:pt idx="1">
                  <c:v>-2.6410901251279142E-5</c:v>
                </c:pt>
                <c:pt idx="2">
                  <c:v>-6.607920035415249E-2</c:v>
                </c:pt>
                <c:pt idx="3">
                  <c:v>-0.26452882627926716</c:v>
                </c:pt>
                <c:pt idx="4">
                  <c:v>-1.0598112130784951</c:v>
                </c:pt>
                <c:pt idx="5">
                  <c:v>-2.3883885262026006</c:v>
                </c:pt>
                <c:pt idx="6">
                  <c:v>-4.2527934675869421</c:v>
                </c:pt>
                <c:pt idx="7">
                  <c:v>-6.6555400514950955</c:v>
                </c:pt>
                <c:pt idx="8">
                  <c:v>-9.5991095393319306</c:v>
                </c:pt>
                <c:pt idx="9">
                  <c:v>-13.085932314127216</c:v>
                </c:pt>
                <c:pt idx="10">
                  <c:v>-17.118365675998088</c:v>
                </c:pt>
                <c:pt idx="11">
                  <c:v>-21.698667540288113</c:v>
                </c:pt>
                <c:pt idx="12">
                  <c:v>-24.194940183111893</c:v>
                </c:pt>
                <c:pt idx="13">
                  <c:v>-26.774933949810627</c:v>
                </c:pt>
                <c:pt idx="14">
                  <c:v>-26.82896602063499</c:v>
                </c:pt>
                <c:pt idx="15">
                  <c:v>-26.378979633221515</c:v>
                </c:pt>
                <c:pt idx="16">
                  <c:v>-5.4139050217841751</c:v>
                </c:pt>
                <c:pt idx="17">
                  <c:v>13.779499665674159</c:v>
                </c:pt>
                <c:pt idx="18">
                  <c:v>45.446442895864365</c:v>
                </c:pt>
                <c:pt idx="19">
                  <c:v>68.033884305243603</c:v>
                </c:pt>
                <c:pt idx="20">
                  <c:v>81.319016060914137</c:v>
                </c:pt>
                <c:pt idx="21">
                  <c:v>84.950660574931007</c:v>
                </c:pt>
                <c:pt idx="22">
                  <c:v>78.423731903408466</c:v>
                </c:pt>
                <c:pt idx="23">
                  <c:v>61.072386121747428</c:v>
                </c:pt>
                <c:pt idx="24">
                  <c:v>32.082838126034133</c:v>
                </c:pt>
                <c:pt idx="25">
                  <c:v>-9.4728736183968465</c:v>
                </c:pt>
                <c:pt idx="26">
                  <c:v>-35.270890274747728</c:v>
                </c:pt>
                <c:pt idx="27">
                  <c:v>-63.959224128966007</c:v>
                </c:pt>
                <c:pt idx="28">
                  <c:v>-64.580613949045812</c:v>
                </c:pt>
                <c:pt idx="29">
                  <c:v>-63.703456340096004</c:v>
                </c:pt>
                <c:pt idx="30">
                  <c:v>-22.521190059785496</c:v>
                </c:pt>
                <c:pt idx="31">
                  <c:v>15.793990591579927</c:v>
                </c:pt>
                <c:pt idx="32">
                  <c:v>80.747101299258887</c:v>
                </c:pt>
                <c:pt idx="33">
                  <c:v>129.34693281760244</c:v>
                </c:pt>
                <c:pt idx="34">
                  <c:v>160.51105175852157</c:v>
                </c:pt>
                <c:pt idx="35">
                  <c:v>172.91288599487581</c:v>
                </c:pt>
                <c:pt idx="36">
                  <c:v>164.92197828505456</c:v>
                </c:pt>
                <c:pt idx="37">
                  <c:v>134.5805648696755</c:v>
                </c:pt>
                <c:pt idx="38">
                  <c:v>79.619634747877711</c:v>
                </c:pt>
                <c:pt idx="39">
                  <c:v>-2.4817553843087099</c:v>
                </c:pt>
                <c:pt idx="40">
                  <c:v>-54.541543412473793</c:v>
                </c:pt>
                <c:pt idx="41">
                  <c:v>-113.11411304580015</c:v>
                </c:pt>
                <c:pt idx="42">
                  <c:v>-114.38954849891147</c:v>
                </c:pt>
                <c:pt idx="43">
                  <c:v>-114.38954849891147</c:v>
                </c:pt>
                <c:pt idx="44">
                  <c:v>-114.38954849891147</c:v>
                </c:pt>
                <c:pt idx="45">
                  <c:v>-114.38954849891147</c:v>
                </c:pt>
                <c:pt idx="46">
                  <c:v>-114.38954849891147</c:v>
                </c:pt>
                <c:pt idx="47">
                  <c:v>-114.38954849891147</c:v>
                </c:pt>
                <c:pt idx="48">
                  <c:v>-114.38954849891147</c:v>
                </c:pt>
                <c:pt idx="49">
                  <c:v>-114.38954849891147</c:v>
                </c:pt>
                <c:pt idx="50">
                  <c:v>-114.38954849891147</c:v>
                </c:pt>
                <c:pt idx="51">
                  <c:v>-114.38954849891147</c:v>
                </c:pt>
                <c:pt idx="52">
                  <c:v>-114.38954849891147</c:v>
                </c:pt>
                <c:pt idx="53">
                  <c:v>-114.38954849891147</c:v>
                </c:pt>
                <c:pt idx="54">
                  <c:v>-114.38954849891147</c:v>
                </c:pt>
                <c:pt idx="55">
                  <c:v>-114.38954849891147</c:v>
                </c:pt>
                <c:pt idx="56">
                  <c:v>-114.38954849891147</c:v>
                </c:pt>
                <c:pt idx="57">
                  <c:v>-114.38954849891147</c:v>
                </c:pt>
                <c:pt idx="58">
                  <c:v>-114.38954849891147</c:v>
                </c:pt>
                <c:pt idx="59">
                  <c:v>-114.38954849891147</c:v>
                </c:pt>
                <c:pt idx="60">
                  <c:v>-114.38954849891147</c:v>
                </c:pt>
                <c:pt idx="61">
                  <c:v>-114.38954849891147</c:v>
                </c:pt>
                <c:pt idx="62">
                  <c:v>-114.38954849891147</c:v>
                </c:pt>
                <c:pt idx="63">
                  <c:v>-114.38954849891147</c:v>
                </c:pt>
                <c:pt idx="64">
                  <c:v>-114.38954849891147</c:v>
                </c:pt>
                <c:pt idx="65">
                  <c:v>-114.38954849891147</c:v>
                </c:pt>
                <c:pt idx="66">
                  <c:v>-114.38954849891147</c:v>
                </c:pt>
                <c:pt idx="67">
                  <c:v>-114.38954849891147</c:v>
                </c:pt>
                <c:pt idx="68">
                  <c:v>-114.38954849891147</c:v>
                </c:pt>
                <c:pt idx="69">
                  <c:v>-114.38954849891147</c:v>
                </c:pt>
                <c:pt idx="70">
                  <c:v>-114.38954849891147</c:v>
                </c:pt>
                <c:pt idx="71">
                  <c:v>-114.38954849891147</c:v>
                </c:pt>
                <c:pt idx="72">
                  <c:v>-114.38954849891147</c:v>
                </c:pt>
                <c:pt idx="73">
                  <c:v>-114.38954849891147</c:v>
                </c:pt>
                <c:pt idx="74">
                  <c:v>-114.38954849891147</c:v>
                </c:pt>
                <c:pt idx="75">
                  <c:v>-114.38954849891147</c:v>
                </c:pt>
                <c:pt idx="76">
                  <c:v>-114.38954849891147</c:v>
                </c:pt>
                <c:pt idx="77">
                  <c:v>-114.38954849891147</c:v>
                </c:pt>
                <c:pt idx="78">
                  <c:v>-114.38954849891147</c:v>
                </c:pt>
                <c:pt idx="79">
                  <c:v>-114.38954849891147</c:v>
                </c:pt>
                <c:pt idx="80">
                  <c:v>-114.38954849891147</c:v>
                </c:pt>
                <c:pt idx="81">
                  <c:v>-114.38954849891147</c:v>
                </c:pt>
                <c:pt idx="82">
                  <c:v>-114.38954849891147</c:v>
                </c:pt>
                <c:pt idx="83">
                  <c:v>-114.38954849891147</c:v>
                </c:pt>
                <c:pt idx="84">
                  <c:v>-114.38954849891147</c:v>
                </c:pt>
                <c:pt idx="85">
                  <c:v>-114.38954849891147</c:v>
                </c:pt>
                <c:pt idx="86">
                  <c:v>-114.38954849891147</c:v>
                </c:pt>
                <c:pt idx="87">
                  <c:v>-114.38954849891147</c:v>
                </c:pt>
                <c:pt idx="88">
                  <c:v>-114.38954849891147</c:v>
                </c:pt>
                <c:pt idx="89">
                  <c:v>-114.38954849891147</c:v>
                </c:pt>
                <c:pt idx="90">
                  <c:v>-114.38954849891147</c:v>
                </c:pt>
                <c:pt idx="91">
                  <c:v>-114.38954849891147</c:v>
                </c:pt>
                <c:pt idx="92">
                  <c:v>-114.38954849891147</c:v>
                </c:pt>
                <c:pt idx="93">
                  <c:v>-114.38954849891147</c:v>
                </c:pt>
                <c:pt idx="94">
                  <c:v>-114.38954849891147</c:v>
                </c:pt>
                <c:pt idx="95">
                  <c:v>-114.38954849891147</c:v>
                </c:pt>
                <c:pt idx="96">
                  <c:v>-114.38954849891147</c:v>
                </c:pt>
                <c:pt idx="97">
                  <c:v>-114.38954849891147</c:v>
                </c:pt>
                <c:pt idx="98">
                  <c:v>-114.38954849891147</c:v>
                </c:pt>
                <c:pt idx="99">
                  <c:v>-114.16724803999692</c:v>
                </c:pt>
                <c:pt idx="100">
                  <c:v>-103.52401713262792</c:v>
                </c:pt>
                <c:pt idx="101">
                  <c:v>-93.170975147823739</c:v>
                </c:pt>
                <c:pt idx="102">
                  <c:v>-74.022311623044146</c:v>
                </c:pt>
                <c:pt idx="103">
                  <c:v>-56.983050482864172</c:v>
                </c:pt>
                <c:pt idx="104">
                  <c:v>-42.092123330465448</c:v>
                </c:pt>
                <c:pt idx="105">
                  <c:v>-29.38802928134514</c:v>
                </c:pt>
                <c:pt idx="106">
                  <c:v>-18.908947227763331</c:v>
                </c:pt>
                <c:pt idx="107">
                  <c:v>-10.692831609692796</c:v>
                </c:pt>
                <c:pt idx="108">
                  <c:v>-4.7774914041936123</c:v>
                </c:pt>
                <c:pt idx="109">
                  <c:v>-1.2006520468474531</c:v>
                </c:pt>
                <c:pt idx="110">
                  <c:v>-0.3009478699072628</c:v>
                </c:pt>
                <c:pt idx="111">
                  <c:v>-1.2068681213791718E-4</c:v>
                </c:pt>
                <c:pt idx="112">
                  <c:v>-1.9101006710035258E-12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'Erweiterte Anwendung'!$R$2:$R$3</c:f>
              <c:strCache>
                <c:ptCount val="1"/>
                <c:pt idx="0">
                  <c:v>LK 5 F rnd</c:v>
                </c:pt>
              </c:strCache>
            </c:strRef>
          </c:tx>
          <c:marker>
            <c:symbol val="none"/>
          </c:marker>
          <c:xVal>
            <c:numRef>
              <c:f>'Erweiterte Anwendung'!$M$4:$M$760</c:f>
              <c:numCache>
                <c:formatCode>General</c:formatCode>
                <c:ptCount val="757"/>
                <c:pt idx="0">
                  <c:v>0</c:v>
                </c:pt>
                <c:pt idx="1">
                  <c:v>1E-3</c:v>
                </c:pt>
                <c:pt idx="2">
                  <c:v>0.05</c:v>
                </c:pt>
                <c:pt idx="3">
                  <c:v>0.1</c:v>
                </c:pt>
                <c:pt idx="4">
                  <c:v>0.2</c:v>
                </c:pt>
                <c:pt idx="5">
                  <c:v>0.30000000000000004</c:v>
                </c:pt>
                <c:pt idx="6">
                  <c:v>0.4</c:v>
                </c:pt>
                <c:pt idx="7">
                  <c:v>0.5</c:v>
                </c:pt>
                <c:pt idx="8">
                  <c:v>0.60000000000000009</c:v>
                </c:pt>
                <c:pt idx="9">
                  <c:v>0.70000000000000007</c:v>
                </c:pt>
                <c:pt idx="10">
                  <c:v>0.8</c:v>
                </c:pt>
                <c:pt idx="11">
                  <c:v>0.9</c:v>
                </c:pt>
                <c:pt idx="12">
                  <c:v>0.95000000000000007</c:v>
                </c:pt>
                <c:pt idx="13">
                  <c:v>0.99900000000000011</c:v>
                </c:pt>
                <c:pt idx="14">
                  <c:v>1</c:v>
                </c:pt>
                <c:pt idx="15">
                  <c:v>1.004</c:v>
                </c:pt>
                <c:pt idx="16">
                  <c:v>1.2</c:v>
                </c:pt>
                <c:pt idx="17">
                  <c:v>1.4</c:v>
                </c:pt>
                <c:pt idx="18">
                  <c:v>1.8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3.4000000000000004</c:v>
                </c:pt>
                <c:pt idx="23">
                  <c:v>3.8000000000000003</c:v>
                </c:pt>
                <c:pt idx="24">
                  <c:v>4.2</c:v>
                </c:pt>
                <c:pt idx="25">
                  <c:v>4.5999999999999996</c:v>
                </c:pt>
                <c:pt idx="26">
                  <c:v>4.8000000000000007</c:v>
                </c:pt>
                <c:pt idx="27">
                  <c:v>4.9960000000000004</c:v>
                </c:pt>
                <c:pt idx="28">
                  <c:v>5</c:v>
                </c:pt>
                <c:pt idx="29">
                  <c:v>5.0039999999999996</c:v>
                </c:pt>
                <c:pt idx="30">
                  <c:v>5.2</c:v>
                </c:pt>
                <c:pt idx="31">
                  <c:v>5.4</c:v>
                </c:pt>
                <c:pt idx="32">
                  <c:v>5.8</c:v>
                </c:pt>
                <c:pt idx="33">
                  <c:v>6.2</c:v>
                </c:pt>
                <c:pt idx="34">
                  <c:v>6.6</c:v>
                </c:pt>
                <c:pt idx="35">
                  <c:v>7</c:v>
                </c:pt>
                <c:pt idx="36">
                  <c:v>7.4</c:v>
                </c:pt>
                <c:pt idx="37">
                  <c:v>7.8000000000000007</c:v>
                </c:pt>
                <c:pt idx="38">
                  <c:v>8.1999999999999993</c:v>
                </c:pt>
                <c:pt idx="39">
                  <c:v>8.6</c:v>
                </c:pt>
                <c:pt idx="40">
                  <c:v>8.8000000000000007</c:v>
                </c:pt>
                <c:pt idx="41">
                  <c:v>8.9960000000000004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9</c:v>
                </c:pt>
                <c:pt idx="85">
                  <c:v>9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  <c:pt idx="93">
                  <c:v>9</c:v>
                </c:pt>
                <c:pt idx="94">
                  <c:v>9</c:v>
                </c:pt>
                <c:pt idx="95">
                  <c:v>9</c:v>
                </c:pt>
                <c:pt idx="96">
                  <c:v>9</c:v>
                </c:pt>
                <c:pt idx="97">
                  <c:v>9</c:v>
                </c:pt>
                <c:pt idx="98">
                  <c:v>9</c:v>
                </c:pt>
                <c:pt idx="99">
                  <c:v>9.0009999999999994</c:v>
                </c:pt>
                <c:pt idx="100">
                  <c:v>9.0500000000000007</c:v>
                </c:pt>
                <c:pt idx="101">
                  <c:v>9.1</c:v>
                </c:pt>
                <c:pt idx="102">
                  <c:v>9.1999999999999993</c:v>
                </c:pt>
                <c:pt idx="103">
                  <c:v>9.3000000000000007</c:v>
                </c:pt>
                <c:pt idx="104">
                  <c:v>9.4</c:v>
                </c:pt>
                <c:pt idx="105">
                  <c:v>9.5</c:v>
                </c:pt>
                <c:pt idx="106">
                  <c:v>9.6</c:v>
                </c:pt>
                <c:pt idx="107">
                  <c:v>9.6999999999999993</c:v>
                </c:pt>
                <c:pt idx="108">
                  <c:v>9.8000000000000007</c:v>
                </c:pt>
                <c:pt idx="109">
                  <c:v>9.9</c:v>
                </c:pt>
                <c:pt idx="110">
                  <c:v>9.9499999999999993</c:v>
                </c:pt>
                <c:pt idx="111">
                  <c:v>9.9990000000000006</c:v>
                </c:pt>
                <c:pt idx="112">
                  <c:v>10</c:v>
                </c:pt>
              </c:numCache>
            </c:numRef>
          </c:xVal>
          <c:yVal>
            <c:numRef>
              <c:f>'Erweiterte Anwendung'!$R$4:$R$760</c:f>
              <c:numCache>
                <c:formatCode>0</c:formatCode>
                <c:ptCount val="757"/>
                <c:pt idx="0">
                  <c:v>5.8757669460534127E-15</c:v>
                </c:pt>
                <c:pt idx="1">
                  <c:v>-9.2617012659013985E-5</c:v>
                </c:pt>
                <c:pt idx="2">
                  <c:v>-0.23071472395020948</c:v>
                </c:pt>
                <c:pt idx="3">
                  <c:v>-0.91948007241517971</c:v>
                </c:pt>
                <c:pt idx="4">
                  <c:v>-3.6508886908334435</c:v>
                </c:pt>
                <c:pt idx="5">
                  <c:v>-8.1536698227799977</c:v>
                </c:pt>
                <c:pt idx="6">
                  <c:v>-14.387237672713276</c:v>
                </c:pt>
                <c:pt idx="7">
                  <c:v>-22.310942771414098</c:v>
                </c:pt>
                <c:pt idx="8">
                  <c:v>-31.884025011226505</c:v>
                </c:pt>
                <c:pt idx="9">
                  <c:v>-43.065553933801361</c:v>
                </c:pt>
                <c:pt idx="10">
                  <c:v>-55.814356577845921</c:v>
                </c:pt>
                <c:pt idx="11">
                  <c:v>-70.088933195683225</c:v>
                </c:pt>
                <c:pt idx="12">
                  <c:v>-77.785305304760158</c:v>
                </c:pt>
                <c:pt idx="13">
                  <c:v>-85.682570703600675</c:v>
                </c:pt>
                <c:pt idx="14">
                  <c:v>-85.847361149267059</c:v>
                </c:pt>
                <c:pt idx="15">
                  <c:v>-84.841297289912376</c:v>
                </c:pt>
                <c:pt idx="16">
                  <c:v>-38.312059670899608</c:v>
                </c:pt>
                <c:pt idx="17">
                  <c:v>3.8039895617088826</c:v>
                </c:pt>
                <c:pt idx="18">
                  <c:v>73.179668780434667</c:v>
                </c:pt>
                <c:pt idx="19">
                  <c:v>125.05248302476097</c:v>
                </c:pt>
                <c:pt idx="20">
                  <c:v>162.05957231198582</c:v>
                </c:pt>
                <c:pt idx="21">
                  <c:v>186.60140282305835</c:v>
                </c:pt>
                <c:pt idx="22">
                  <c:v>200.7695392328103</c:v>
                </c:pt>
                <c:pt idx="23">
                  <c:v>206.29858500663636</c:v>
                </c:pt>
                <c:pt idx="24">
                  <c:v>204.53826762945255</c:v>
                </c:pt>
                <c:pt idx="25">
                  <c:v>196.44232848895263</c:v>
                </c:pt>
                <c:pt idx="26">
                  <c:v>190.20876914516273</c:v>
                </c:pt>
                <c:pt idx="27">
                  <c:v>182.73800343092739</c:v>
                </c:pt>
                <c:pt idx="28">
                  <c:v>182.57161486556433</c:v>
                </c:pt>
                <c:pt idx="29">
                  <c:v>182.73800343092736</c:v>
                </c:pt>
                <c:pt idx="30">
                  <c:v>190.20876914516276</c:v>
                </c:pt>
                <c:pt idx="31">
                  <c:v>196.44232848895282</c:v>
                </c:pt>
                <c:pt idx="32">
                  <c:v>204.53826762945275</c:v>
                </c:pt>
                <c:pt idx="33">
                  <c:v>206.29858500663659</c:v>
                </c:pt>
                <c:pt idx="34">
                  <c:v>200.76953923281064</c:v>
                </c:pt>
                <c:pt idx="35">
                  <c:v>186.60140282305861</c:v>
                </c:pt>
                <c:pt idx="36">
                  <c:v>162.05957231198602</c:v>
                </c:pt>
                <c:pt idx="37">
                  <c:v>125.05248302476079</c:v>
                </c:pt>
                <c:pt idx="38">
                  <c:v>73.179668780434284</c:v>
                </c:pt>
                <c:pt idx="39">
                  <c:v>3.8039895617079544</c:v>
                </c:pt>
                <c:pt idx="40">
                  <c:v>-38.312059670901093</c:v>
                </c:pt>
                <c:pt idx="41">
                  <c:v>-84.841297289914181</c:v>
                </c:pt>
                <c:pt idx="42">
                  <c:v>-85.847361149268593</c:v>
                </c:pt>
                <c:pt idx="43">
                  <c:v>-85.847361149268593</c:v>
                </c:pt>
                <c:pt idx="44">
                  <c:v>-85.847361149268593</c:v>
                </c:pt>
                <c:pt idx="45">
                  <c:v>-85.847361149268593</c:v>
                </c:pt>
                <c:pt idx="46">
                  <c:v>-85.847361149268593</c:v>
                </c:pt>
                <c:pt idx="47">
                  <c:v>-85.847361149268593</c:v>
                </c:pt>
                <c:pt idx="48">
                  <c:v>-85.847361149268593</c:v>
                </c:pt>
                <c:pt idx="49">
                  <c:v>-85.847361149268593</c:v>
                </c:pt>
                <c:pt idx="50">
                  <c:v>-85.847361149268593</c:v>
                </c:pt>
                <c:pt idx="51">
                  <c:v>-85.847361149268593</c:v>
                </c:pt>
                <c:pt idx="52">
                  <c:v>-85.847361149268593</c:v>
                </c:pt>
                <c:pt idx="53">
                  <c:v>-85.847361149268593</c:v>
                </c:pt>
                <c:pt idx="54">
                  <c:v>-85.847361149268593</c:v>
                </c:pt>
                <c:pt idx="55">
                  <c:v>-85.847361149268593</c:v>
                </c:pt>
                <c:pt idx="56">
                  <c:v>-85.847361149268593</c:v>
                </c:pt>
                <c:pt idx="57">
                  <c:v>-85.847361149268593</c:v>
                </c:pt>
                <c:pt idx="58">
                  <c:v>-85.847361149268593</c:v>
                </c:pt>
                <c:pt idx="59">
                  <c:v>-85.847361149268593</c:v>
                </c:pt>
                <c:pt idx="60">
                  <c:v>-85.847361149268593</c:v>
                </c:pt>
                <c:pt idx="61">
                  <c:v>-85.847361149268593</c:v>
                </c:pt>
                <c:pt idx="62">
                  <c:v>-85.847361149268593</c:v>
                </c:pt>
                <c:pt idx="63">
                  <c:v>-85.847361149268593</c:v>
                </c:pt>
                <c:pt idx="64">
                  <c:v>-85.847361149268593</c:v>
                </c:pt>
                <c:pt idx="65">
                  <c:v>-85.847361149268593</c:v>
                </c:pt>
                <c:pt idx="66">
                  <c:v>-85.847361149268593</c:v>
                </c:pt>
                <c:pt idx="67">
                  <c:v>-85.847361149268593</c:v>
                </c:pt>
                <c:pt idx="68">
                  <c:v>-85.847361149268593</c:v>
                </c:pt>
                <c:pt idx="69">
                  <c:v>-85.847361149268593</c:v>
                </c:pt>
                <c:pt idx="70">
                  <c:v>-85.847361149268593</c:v>
                </c:pt>
                <c:pt idx="71">
                  <c:v>-85.847361149268593</c:v>
                </c:pt>
                <c:pt idx="72">
                  <c:v>-85.847361149268593</c:v>
                </c:pt>
                <c:pt idx="73">
                  <c:v>-85.847361149268593</c:v>
                </c:pt>
                <c:pt idx="74">
                  <c:v>-85.847361149268593</c:v>
                </c:pt>
                <c:pt idx="75">
                  <c:v>-85.847361149268593</c:v>
                </c:pt>
                <c:pt idx="76">
                  <c:v>-85.847361149268593</c:v>
                </c:pt>
                <c:pt idx="77">
                  <c:v>-85.847361149268593</c:v>
                </c:pt>
                <c:pt idx="78">
                  <c:v>-85.847361149268593</c:v>
                </c:pt>
                <c:pt idx="79">
                  <c:v>-85.847361149268593</c:v>
                </c:pt>
                <c:pt idx="80">
                  <c:v>-85.847361149268593</c:v>
                </c:pt>
                <c:pt idx="81">
                  <c:v>-85.847361149268593</c:v>
                </c:pt>
                <c:pt idx="82">
                  <c:v>-85.847361149268593</c:v>
                </c:pt>
                <c:pt idx="83">
                  <c:v>-85.847361149268593</c:v>
                </c:pt>
                <c:pt idx="84">
                  <c:v>-85.847361149268593</c:v>
                </c:pt>
                <c:pt idx="85">
                  <c:v>-85.847361149268593</c:v>
                </c:pt>
                <c:pt idx="86">
                  <c:v>-85.847361149268593</c:v>
                </c:pt>
                <c:pt idx="87">
                  <c:v>-85.847361149268593</c:v>
                </c:pt>
                <c:pt idx="88">
                  <c:v>-85.847361149268593</c:v>
                </c:pt>
                <c:pt idx="89">
                  <c:v>-85.847361149268593</c:v>
                </c:pt>
                <c:pt idx="90">
                  <c:v>-85.847361149268593</c:v>
                </c:pt>
                <c:pt idx="91">
                  <c:v>-85.847361149268593</c:v>
                </c:pt>
                <c:pt idx="92">
                  <c:v>-85.847361149268593</c:v>
                </c:pt>
                <c:pt idx="93">
                  <c:v>-85.847361149268593</c:v>
                </c:pt>
                <c:pt idx="94">
                  <c:v>-85.847361149268593</c:v>
                </c:pt>
                <c:pt idx="95">
                  <c:v>-85.847361149268593</c:v>
                </c:pt>
                <c:pt idx="96">
                  <c:v>-85.847361149268593</c:v>
                </c:pt>
                <c:pt idx="97">
                  <c:v>-85.847361149268593</c:v>
                </c:pt>
                <c:pt idx="98">
                  <c:v>-85.847361149268593</c:v>
                </c:pt>
                <c:pt idx="99">
                  <c:v>-85.682570703602281</c:v>
                </c:pt>
                <c:pt idx="100">
                  <c:v>-77.78530530476165</c:v>
                </c:pt>
                <c:pt idx="101">
                  <c:v>-70.088933195685115</c:v>
                </c:pt>
                <c:pt idx="102">
                  <c:v>-55.81435657784801</c:v>
                </c:pt>
                <c:pt idx="103">
                  <c:v>-43.065553933803486</c:v>
                </c:pt>
                <c:pt idx="104">
                  <c:v>-31.884025011228985</c:v>
                </c:pt>
                <c:pt idx="105">
                  <c:v>-22.310942771416862</c:v>
                </c:pt>
                <c:pt idx="106">
                  <c:v>-14.387237672716314</c:v>
                </c:pt>
                <c:pt idx="107">
                  <c:v>-8.1536698227833497</c:v>
                </c:pt>
                <c:pt idx="108">
                  <c:v>-3.6508886908369687</c:v>
                </c:pt>
                <c:pt idx="109">
                  <c:v>-0.91948007241909435</c:v>
                </c:pt>
                <c:pt idx="110">
                  <c:v>-0.23071472395432419</c:v>
                </c:pt>
                <c:pt idx="111">
                  <c:v>-9.2617016837954721E-5</c:v>
                </c:pt>
                <c:pt idx="112">
                  <c:v>-4.2181654492181287E-12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8528384"/>
        <c:axId val="518538368"/>
      </c:scatterChart>
      <c:valAx>
        <c:axId val="518528384"/>
        <c:scaling>
          <c:orientation val="minMax"/>
          <c:min val="0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518538368"/>
        <c:crosses val="autoZero"/>
        <c:crossBetween val="midCat"/>
      </c:valAx>
      <c:valAx>
        <c:axId val="5185383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CH"/>
                  <a:t>Moment (kNm/m)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518528384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73897550764269648"/>
          <c:y val="1.9607843137254902E-2"/>
          <c:w val="0.230448576126937"/>
          <c:h val="0.40203026092326694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1"/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26</xdr:row>
      <xdr:rowOff>1</xdr:rowOff>
    </xdr:from>
    <xdr:to>
      <xdr:col>6</xdr:col>
      <xdr:colOff>0</xdr:colOff>
      <xdr:row>43</xdr:row>
      <xdr:rowOff>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3</xdr:row>
      <xdr:rowOff>114300</xdr:rowOff>
    </xdr:from>
    <xdr:to>
      <xdr:col>24</xdr:col>
      <xdr:colOff>385763</xdr:colOff>
      <xdr:row>20</xdr:row>
      <xdr:rowOff>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77</xdr:row>
      <xdr:rowOff>0</xdr:rowOff>
    </xdr:from>
    <xdr:to>
      <xdr:col>6</xdr:col>
      <xdr:colOff>0</xdr:colOff>
      <xdr:row>93</xdr:row>
      <xdr:rowOff>76200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43</xdr:row>
      <xdr:rowOff>0</xdr:rowOff>
    </xdr:from>
    <xdr:to>
      <xdr:col>5</xdr:col>
      <xdr:colOff>847724</xdr:colOff>
      <xdr:row>60</xdr:row>
      <xdr:rowOff>0</xdr:rowOff>
    </xdr:to>
    <xdr:graphicFrame macro="">
      <xdr:nvGraphicFramePr>
        <xdr:cNvPr id="5" name="Diagramm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60</xdr:row>
      <xdr:rowOff>0</xdr:rowOff>
    </xdr:from>
    <xdr:to>
      <xdr:col>6</xdr:col>
      <xdr:colOff>0</xdr:colOff>
      <xdr:row>77</xdr:row>
      <xdr:rowOff>0</xdr:rowOff>
    </xdr:to>
    <xdr:graphicFrame macro="">
      <xdr:nvGraphicFramePr>
        <xdr:cNvPr id="6" name="Diagramm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26</xdr:row>
      <xdr:rowOff>1</xdr:rowOff>
    </xdr:from>
    <xdr:to>
      <xdr:col>6</xdr:col>
      <xdr:colOff>0</xdr:colOff>
      <xdr:row>43</xdr:row>
      <xdr:rowOff>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">
  <a:themeElements>
    <a:clrScheme name="Nyad">
      <a:dk1>
        <a:sysClr val="windowText" lastClr="000000"/>
      </a:dk1>
      <a:lt1>
        <a:sysClr val="window" lastClr="FFFFFF"/>
      </a:lt1>
      <a:dk2>
        <a:srgbClr val="4F271C"/>
      </a:dk2>
      <a:lt2>
        <a:srgbClr val="E7DEC9"/>
      </a:lt2>
      <a:accent1>
        <a:srgbClr val="3891A7"/>
      </a:accent1>
      <a:accent2>
        <a:srgbClr val="FEB80A"/>
      </a:accent2>
      <a:accent3>
        <a:srgbClr val="C32D2E"/>
      </a:accent3>
      <a:accent4>
        <a:srgbClr val="84AA33"/>
      </a:accent4>
      <a:accent5>
        <a:srgbClr val="964305"/>
      </a:accent5>
      <a:accent6>
        <a:srgbClr val="475A8D"/>
      </a:accent6>
      <a:hlink>
        <a:srgbClr val="8DC765"/>
      </a:hlink>
      <a:folHlink>
        <a:srgbClr val="AA8A14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4"/>
  <dimension ref="A1:R761"/>
  <sheetViews>
    <sheetView tabSelected="1" zoomScaleNormal="100" workbookViewId="0">
      <selection activeCell="B13" sqref="B13"/>
    </sheetView>
  </sheetViews>
  <sheetFormatPr baseColWidth="10" defaultRowHeight="15" x14ac:dyDescent="0.25"/>
  <cols>
    <col min="1" max="1" width="20.28515625" customWidth="1"/>
    <col min="2" max="2" width="14" bestFit="1" customWidth="1"/>
    <col min="4" max="4" width="12" bestFit="1" customWidth="1"/>
    <col min="6" max="6" width="9.7109375" customWidth="1"/>
    <col min="7" max="7" width="7.28515625" customWidth="1"/>
  </cols>
  <sheetData>
    <row r="1" spans="1:18" x14ac:dyDescent="0.25">
      <c r="A1" s="1" t="s">
        <v>55</v>
      </c>
      <c r="I1" s="1" t="s">
        <v>42</v>
      </c>
      <c r="R1" s="1" t="s">
        <v>54</v>
      </c>
    </row>
    <row r="2" spans="1:18" x14ac:dyDescent="0.25">
      <c r="I2" t="s">
        <v>43</v>
      </c>
      <c r="J2" t="s">
        <v>23</v>
      </c>
      <c r="K2" t="s">
        <v>24</v>
      </c>
      <c r="L2" t="s">
        <v>35</v>
      </c>
      <c r="M2" t="s">
        <v>34</v>
      </c>
      <c r="N2" t="s">
        <v>36</v>
      </c>
      <c r="O2" t="s">
        <v>33</v>
      </c>
      <c r="P2" t="s">
        <v>31</v>
      </c>
    </row>
    <row r="3" spans="1:18" x14ac:dyDescent="0.25">
      <c r="A3" s="2" t="s">
        <v>0</v>
      </c>
      <c r="B3" s="3"/>
      <c r="C3" s="3"/>
      <c r="E3" s="4" t="s">
        <v>1</v>
      </c>
      <c r="F3" s="5"/>
      <c r="G3" s="5"/>
      <c r="J3" t="s">
        <v>44</v>
      </c>
      <c r="K3" t="s">
        <v>29</v>
      </c>
      <c r="L3" t="s">
        <v>40</v>
      </c>
      <c r="M3" t="s">
        <v>30</v>
      </c>
      <c r="N3" t="s">
        <v>38</v>
      </c>
      <c r="O3" t="s">
        <v>29</v>
      </c>
      <c r="P3" t="s">
        <v>8</v>
      </c>
    </row>
    <row r="4" spans="1:18" x14ac:dyDescent="0.25">
      <c r="A4" t="s">
        <v>2</v>
      </c>
      <c r="B4" s="6">
        <v>6</v>
      </c>
      <c r="C4" t="s">
        <v>3</v>
      </c>
      <c r="E4" t="s">
        <v>4</v>
      </c>
      <c r="F4" t="s">
        <v>5</v>
      </c>
      <c r="G4" t="s">
        <v>6</v>
      </c>
      <c r="I4">
        <v>0</v>
      </c>
      <c r="J4">
        <f t="shared" ref="J4:J18" si="0">($F$6-0)/10*I4</f>
        <v>0</v>
      </c>
      <c r="K4" s="18">
        <f t="shared" ref="K4:K35" si="1">Moment(J4,$B$4,$B$5,$B$15*1000,$B$10*1000,$F$6:$F$12,$G$6:$G$12)</f>
        <v>1.78118250358646E-14</v>
      </c>
      <c r="L4" s="15">
        <f t="shared" ref="L4:L35" si="2">Biegelinie(J4,$B$4,$B$5,$B$15*1000,$B$10*1000,$F$6:$F$12,$G$6:$G$12)*1000</f>
        <v>-9.522398583309359</v>
      </c>
      <c r="M4" s="18">
        <f>L4*$B$13</f>
        <v>-201.44220699751352</v>
      </c>
      <c r="N4" s="18">
        <f t="shared" ref="N4:N35" si="3">Querkraft(J4,$B$4,$B$5,$B$15*1000,$B$10*1000,$F$6:$F$12,$G$6:$G$12)/$B$5</f>
        <v>4.1133077198272879E-14</v>
      </c>
      <c r="O4" s="18">
        <f t="shared" ref="O4:O35" si="4">Moment(J4,$B$4,$B$5,$B$15*1000,$B$10*1000,$F$6:$F$12,$G$6:$G$12,TRUE)</f>
        <v>0</v>
      </c>
      <c r="P4" s="16">
        <f t="shared" ref="P4:P35" si="5">(M5+M4)/2*(J5-J4)*$B$5</f>
        <v>-0.15109032196047004</v>
      </c>
    </row>
    <row r="5" spans="1:18" x14ac:dyDescent="0.25">
      <c r="A5" t="s">
        <v>7</v>
      </c>
      <c r="B5" s="6">
        <v>1.5</v>
      </c>
      <c r="C5" t="s">
        <v>3</v>
      </c>
      <c r="F5" t="s">
        <v>3</v>
      </c>
      <c r="G5" t="s">
        <v>8</v>
      </c>
      <c r="I5">
        <v>0.01</v>
      </c>
      <c r="J5">
        <f t="shared" si="0"/>
        <v>5.0000000000000001E-4</v>
      </c>
      <c r="K5" s="18">
        <f t="shared" si="1"/>
        <v>-2.5181238839891171E-5</v>
      </c>
      <c r="L5" s="15">
        <f t="shared" si="2"/>
        <v>-9.5234910771548158</v>
      </c>
      <c r="M5" s="18">
        <f t="shared" ref="M5:M68" si="6">L5*$B$13</f>
        <v>-201.46531823040664</v>
      </c>
      <c r="N5" s="18">
        <f t="shared" si="3"/>
        <v>-0.10072688130690778</v>
      </c>
      <c r="O5" s="18">
        <f t="shared" si="4"/>
        <v>-3.1250578703703705E-5</v>
      </c>
      <c r="P5" s="16">
        <f t="shared" si="5"/>
        <v>-7.4246591740270258</v>
      </c>
    </row>
    <row r="6" spans="1:18" x14ac:dyDescent="0.25">
      <c r="A6" t="s">
        <v>9</v>
      </c>
      <c r="B6" s="6">
        <v>0.3</v>
      </c>
      <c r="C6" t="s">
        <v>3</v>
      </c>
      <c r="D6" s="16"/>
      <c r="E6">
        <v>1</v>
      </c>
      <c r="F6" s="6">
        <v>0.5</v>
      </c>
      <c r="G6" s="19">
        <v>500</v>
      </c>
      <c r="I6">
        <v>0.5</v>
      </c>
      <c r="J6">
        <f t="shared" si="0"/>
        <v>2.5000000000000001E-2</v>
      </c>
      <c r="K6" s="18">
        <f t="shared" si="1"/>
        <v>-6.3071060637787169E-2</v>
      </c>
      <c r="L6" s="15">
        <f t="shared" si="2"/>
        <v>-9.5770231540110036</v>
      </c>
      <c r="M6" s="18">
        <f t="shared" si="6"/>
        <v>-202.59776607038387</v>
      </c>
      <c r="N6" s="18">
        <f t="shared" si="3"/>
        <v>-5.0504996826396331</v>
      </c>
      <c r="O6" s="18">
        <f t="shared" si="4"/>
        <v>-7.8197337962962979E-2</v>
      </c>
      <c r="P6" s="16">
        <f t="shared" si="5"/>
        <v>-7.6190822842734311</v>
      </c>
    </row>
    <row r="7" spans="1:18" x14ac:dyDescent="0.25">
      <c r="A7" t="s">
        <v>10</v>
      </c>
      <c r="B7" s="7">
        <v>12000</v>
      </c>
      <c r="C7" t="s">
        <v>11</v>
      </c>
      <c r="D7" s="16"/>
      <c r="E7">
        <v>2</v>
      </c>
      <c r="F7" s="6">
        <f>B4/2</f>
        <v>3</v>
      </c>
      <c r="G7" s="19">
        <v>1700</v>
      </c>
      <c r="I7">
        <v>1</v>
      </c>
      <c r="J7">
        <f t="shared" si="0"/>
        <v>0.05</v>
      </c>
      <c r="K7" s="18">
        <f t="shared" si="1"/>
        <v>-0.25276572335338959</v>
      </c>
      <c r="L7" s="15">
        <f t="shared" si="2"/>
        <v>-9.6316460204758965</v>
      </c>
      <c r="M7" s="18">
        <f t="shared" si="6"/>
        <v>-203.75328909086579</v>
      </c>
      <c r="N7" s="18">
        <f t="shared" si="3"/>
        <v>-10.129888020306513</v>
      </c>
      <c r="O7" s="18">
        <f t="shared" si="4"/>
        <v>-0.31307870370370378</v>
      </c>
      <c r="P7" s="16">
        <f t="shared" si="5"/>
        <v>-15.368140575833767</v>
      </c>
    </row>
    <row r="8" spans="1:18" x14ac:dyDescent="0.25">
      <c r="D8" s="16"/>
      <c r="E8">
        <v>3</v>
      </c>
      <c r="F8" s="6">
        <v>5.5</v>
      </c>
      <c r="G8" s="19">
        <v>800</v>
      </c>
      <c r="I8">
        <v>2</v>
      </c>
      <c r="J8">
        <f t="shared" si="0"/>
        <v>0.1</v>
      </c>
      <c r="K8" s="18">
        <f t="shared" si="1"/>
        <v>-1.0149145593578399</v>
      </c>
      <c r="L8" s="15">
        <f t="shared" si="2"/>
        <v>-9.7408661229830145</v>
      </c>
      <c r="M8" s="18">
        <f t="shared" si="6"/>
        <v>-206.06379293136794</v>
      </c>
      <c r="N8" s="18">
        <f t="shared" si="3"/>
        <v>-20.375319825848646</v>
      </c>
      <c r="O8" s="18">
        <f t="shared" si="4"/>
        <v>-1.25462962962963</v>
      </c>
      <c r="P8" s="16">
        <f t="shared" si="5"/>
        <v>-15.541350661645446</v>
      </c>
    </row>
    <row r="9" spans="1:18" x14ac:dyDescent="0.25">
      <c r="A9" s="8" t="s">
        <v>12</v>
      </c>
      <c r="B9" s="8"/>
      <c r="C9" s="8"/>
      <c r="D9" s="16"/>
      <c r="E9">
        <v>4</v>
      </c>
      <c r="F9" s="23"/>
      <c r="G9" s="26"/>
      <c r="I9">
        <v>3</v>
      </c>
      <c r="J9">
        <f t="shared" si="0"/>
        <v>0.15000000000000002</v>
      </c>
      <c r="K9" s="18">
        <f t="shared" si="1"/>
        <v>-2.2922224565228864</v>
      </c>
      <c r="L9" s="15">
        <f t="shared" si="2"/>
        <v>-9.8499882769251084</v>
      </c>
      <c r="M9" s="18">
        <f t="shared" si="6"/>
        <v>-208.37222471251047</v>
      </c>
      <c r="N9" s="18">
        <f t="shared" si="3"/>
        <v>-30.736233339715813</v>
      </c>
      <c r="O9" s="18">
        <f t="shared" si="4"/>
        <v>-2.8281250000000004</v>
      </c>
      <c r="P9" s="16">
        <f t="shared" si="5"/>
        <v>-15.714311485132711</v>
      </c>
    </row>
    <row r="10" spans="1:18" x14ac:dyDescent="0.25">
      <c r="A10" t="s">
        <v>13</v>
      </c>
      <c r="B10" s="17">
        <v>50</v>
      </c>
      <c r="C10" t="s">
        <v>11</v>
      </c>
      <c r="D10" s="16"/>
      <c r="E10">
        <v>5</v>
      </c>
      <c r="F10" s="23"/>
      <c r="G10" s="26"/>
      <c r="I10">
        <v>4</v>
      </c>
      <c r="J10">
        <f t="shared" si="0"/>
        <v>0.2</v>
      </c>
      <c r="K10" s="18">
        <f t="shared" si="1"/>
        <v>-4.0904599729864701</v>
      </c>
      <c r="L10" s="15">
        <f t="shared" si="2"/>
        <v>-9.9588941685241146</v>
      </c>
      <c r="M10" s="18">
        <f t="shared" si="6"/>
        <v>-210.67608155769531</v>
      </c>
      <c r="N10" s="18">
        <f t="shared" si="3"/>
        <v>-41.212466615042004</v>
      </c>
      <c r="O10" s="18">
        <f t="shared" si="4"/>
        <v>-5.0370370370370381</v>
      </c>
      <c r="P10" s="16">
        <f t="shared" si="5"/>
        <v>-15.886797066593878</v>
      </c>
    </row>
    <row r="11" spans="1:18" x14ac:dyDescent="0.25">
      <c r="D11" s="16"/>
      <c r="E11">
        <v>6</v>
      </c>
      <c r="F11" s="23"/>
      <c r="G11" s="26"/>
      <c r="I11">
        <v>5</v>
      </c>
      <c r="J11">
        <f t="shared" si="0"/>
        <v>0.25</v>
      </c>
      <c r="K11" s="18">
        <f t="shared" si="1"/>
        <v>-6.415386016968891</v>
      </c>
      <c r="L11" s="15">
        <f t="shared" si="2"/>
        <v>-10.067417249866859</v>
      </c>
      <c r="M11" s="18">
        <f t="shared" si="6"/>
        <v>-212.97184021814152</v>
      </c>
      <c r="N11" s="18">
        <f t="shared" si="3"/>
        <v>-51.803707098881809</v>
      </c>
      <c r="O11" s="18">
        <f t="shared" si="4"/>
        <v>-7.8848379629629628</v>
      </c>
      <c r="P11" s="16">
        <f t="shared" si="5"/>
        <v>-16.058504475456338</v>
      </c>
    </row>
    <row r="12" spans="1:18" x14ac:dyDescent="0.25">
      <c r="A12" t="s">
        <v>14</v>
      </c>
      <c r="D12" s="16"/>
      <c r="E12">
        <v>7</v>
      </c>
      <c r="F12" s="23"/>
      <c r="G12" s="26"/>
      <c r="I12">
        <v>6</v>
      </c>
      <c r="J12">
        <f t="shared" si="0"/>
        <v>0.30000000000000004</v>
      </c>
      <c r="K12" s="18">
        <f t="shared" si="1"/>
        <v>-9.2727390363008322</v>
      </c>
      <c r="L12" s="15">
        <f t="shared" si="2"/>
        <v>-10.175342205740817</v>
      </c>
      <c r="M12" s="18">
        <f t="shared" si="6"/>
        <v>-215.25494579402718</v>
      </c>
      <c r="N12" s="18">
        <f t="shared" si="3"/>
        <v>-62.50944033150062</v>
      </c>
      <c r="O12" s="18">
        <f t="shared" si="4"/>
        <v>-11.375000000000005</v>
      </c>
      <c r="P12" s="16">
        <f t="shared" si="5"/>
        <v>-16.229052985880813</v>
      </c>
    </row>
    <row r="13" spans="1:18" x14ac:dyDescent="0.25">
      <c r="A13" t="s">
        <v>39</v>
      </c>
      <c r="B13" s="9">
        <f>B10/(fShape(B5,B4)*B5)</f>
        <v>21.154565757265903</v>
      </c>
      <c r="C13" t="s">
        <v>15</v>
      </c>
      <c r="D13" t="s">
        <v>16</v>
      </c>
      <c r="I13">
        <v>7</v>
      </c>
      <c r="J13">
        <f t="shared" si="0"/>
        <v>0.35000000000000003</v>
      </c>
      <c r="K13" s="18">
        <f t="shared" si="1"/>
        <v>-12.668225628832468</v>
      </c>
      <c r="L13" s="15">
        <f t="shared" si="2"/>
        <v>-10.282404422384184</v>
      </c>
      <c r="M13" s="18">
        <f t="shared" si="6"/>
        <v>-217.51980049612794</v>
      </c>
      <c r="N13" s="18">
        <f t="shared" si="3"/>
        <v>-73.328898082652344</v>
      </c>
      <c r="O13" s="18">
        <f t="shared" si="4"/>
        <v>-15.510995370370372</v>
      </c>
      <c r="P13" s="16">
        <f t="shared" si="5"/>
        <v>-16.39798323623986</v>
      </c>
    </row>
    <row r="14" spans="1:18" x14ac:dyDescent="0.25">
      <c r="A14" t="s">
        <v>17</v>
      </c>
      <c r="B14" s="10">
        <f>1/12*B5*B6^3</f>
        <v>3.375E-3</v>
      </c>
      <c r="C14" t="s">
        <v>18</v>
      </c>
      <c r="D14" t="s">
        <v>16</v>
      </c>
      <c r="I14">
        <v>8</v>
      </c>
      <c r="J14">
        <f t="shared" si="0"/>
        <v>0.4</v>
      </c>
      <c r="K14" s="18">
        <f t="shared" si="1"/>
        <v>-16.607506545631548</v>
      </c>
      <c r="L14" s="15">
        <f t="shared" si="2"/>
        <v>-10.38828945920519</v>
      </c>
      <c r="M14" s="18">
        <f t="shared" si="6"/>
        <v>-219.75975247026844</v>
      </c>
      <c r="N14" s="18">
        <f t="shared" si="3"/>
        <v>-84.261005927405591</v>
      </c>
      <c r="O14" s="18">
        <f t="shared" si="4"/>
        <v>-20.296296296296301</v>
      </c>
      <c r="P14" s="16">
        <f t="shared" si="5"/>
        <v>-16.564756394335305</v>
      </c>
    </row>
    <row r="15" spans="1:18" x14ac:dyDescent="0.25">
      <c r="A15" t="s">
        <v>19</v>
      </c>
      <c r="B15" s="11">
        <f>B14*B7</f>
        <v>40.5</v>
      </c>
      <c r="C15" t="s">
        <v>20</v>
      </c>
      <c r="D15" t="s">
        <v>56</v>
      </c>
      <c r="I15">
        <v>9</v>
      </c>
      <c r="J15">
        <f t="shared" si="0"/>
        <v>0.45</v>
      </c>
      <c r="K15" s="18">
        <f t="shared" si="1"/>
        <v>-21.096180059038449</v>
      </c>
      <c r="L15" s="15">
        <f t="shared" si="2"/>
        <v>-10.492632524766808</v>
      </c>
      <c r="M15" s="18">
        <f t="shared" si="6"/>
        <v>-221.9670847120064</v>
      </c>
      <c r="N15" s="18">
        <f t="shared" si="3"/>
        <v>-95.304330265323429</v>
      </c>
      <c r="O15" s="18">
        <f t="shared" si="4"/>
        <v>-25.734375</v>
      </c>
      <c r="P15" s="16">
        <f t="shared" si="5"/>
        <v>-8.3441793305325405</v>
      </c>
    </row>
    <row r="16" spans="1:18" x14ac:dyDescent="0.25">
      <c r="A16" t="s">
        <v>21</v>
      </c>
      <c r="B16" s="12">
        <f>(4*B15/(B13*B5))^0.25</f>
        <v>1.5031589607248619</v>
      </c>
      <c r="C16" t="s">
        <v>3</v>
      </c>
      <c r="D16" t="s">
        <v>16</v>
      </c>
      <c r="I16">
        <v>9.5</v>
      </c>
      <c r="J16">
        <f t="shared" si="0"/>
        <v>0.47500000000000003</v>
      </c>
      <c r="K16" s="18">
        <f t="shared" si="1"/>
        <v>-23.548266722272405</v>
      </c>
      <c r="L16" s="15">
        <f t="shared" si="2"/>
        <v>-10.544097925516761</v>
      </c>
      <c r="M16" s="18">
        <f t="shared" si="6"/>
        <v>-223.05581291639533</v>
      </c>
      <c r="N16" s="18">
        <f t="shared" si="3"/>
        <v>-100.86713924429853</v>
      </c>
      <c r="O16" s="18">
        <f t="shared" si="4"/>
        <v>-28.699291087962965</v>
      </c>
      <c r="P16" s="16">
        <f t="shared" si="5"/>
        <v>-8.2167008712705645</v>
      </c>
    </row>
    <row r="17" spans="1:16" x14ac:dyDescent="0.25">
      <c r="A17" t="s">
        <v>41</v>
      </c>
      <c r="B17" s="12">
        <f>B4/B16</f>
        <v>3.9915938079540476</v>
      </c>
      <c r="D17" t="s">
        <v>16</v>
      </c>
      <c r="I17">
        <v>9.99</v>
      </c>
      <c r="J17">
        <f t="shared" si="0"/>
        <v>0.49950000000000006</v>
      </c>
      <c r="K17" s="18">
        <f t="shared" si="1"/>
        <v>-26.086562171209476</v>
      </c>
      <c r="L17" s="15">
        <f t="shared" si="2"/>
        <v>-10.594005285194278</v>
      </c>
      <c r="M17" s="18">
        <f t="shared" si="6"/>
        <v>-224.11158143846487</v>
      </c>
      <c r="N17" s="18">
        <f t="shared" si="3"/>
        <v>-106.34496364170219</v>
      </c>
      <c r="O17" s="18">
        <f t="shared" si="4"/>
        <v>-31.764500578125009</v>
      </c>
      <c r="P17" s="16">
        <f t="shared" si="5"/>
        <v>-0.16809171957845526</v>
      </c>
    </row>
    <row r="18" spans="1:16" x14ac:dyDescent="0.25">
      <c r="A18" s="20" t="s">
        <v>37</v>
      </c>
      <c r="B18" s="21" t="str">
        <f>IF(B4&lt;1.5*PI()*B16,"Ja","Nein")</f>
        <v>Ja</v>
      </c>
      <c r="C18" s="20"/>
      <c r="D18" s="20" t="s">
        <v>16</v>
      </c>
      <c r="I18">
        <v>10</v>
      </c>
      <c r="J18">
        <f t="shared" si="0"/>
        <v>0.5</v>
      </c>
      <c r="K18" s="18">
        <f t="shared" si="1"/>
        <v>-26.139762667870624</v>
      </c>
      <c r="L18" s="15">
        <f t="shared" si="2"/>
        <v>-10.595017958577074</v>
      </c>
      <c r="M18" s="18">
        <f t="shared" si="6"/>
        <v>-224.13300410413186</v>
      </c>
      <c r="N18" s="18">
        <f t="shared" si="3"/>
        <v>-106.45702478830093</v>
      </c>
      <c r="O18" s="18">
        <f t="shared" si="4"/>
        <v>-31.828703703703706</v>
      </c>
      <c r="P18" s="16">
        <f t="shared" si="5"/>
        <v>-0.84069945976082372</v>
      </c>
    </row>
    <row r="19" spans="1:16" x14ac:dyDescent="0.25">
      <c r="A19" s="13" t="s">
        <v>22</v>
      </c>
      <c r="B19" s="14"/>
      <c r="C19" s="13"/>
      <c r="I19">
        <f>I5</f>
        <v>0.01</v>
      </c>
      <c r="J19">
        <f t="shared" ref="J19:J32" si="7">IF($F$7=0,J18,$J$18+($F$7-$J$18)/10*I19)</f>
        <v>0.50249999999999995</v>
      </c>
      <c r="K19" s="18">
        <f t="shared" si="1"/>
        <v>-25.5732724236758</v>
      </c>
      <c r="L19" s="15">
        <f t="shared" si="2"/>
        <v>-10.600077717247929</v>
      </c>
      <c r="M19" s="18">
        <f t="shared" si="6"/>
        <v>-224.24004110165038</v>
      </c>
      <c r="N19" s="18">
        <f t="shared" si="3"/>
        <v>226.31584221214686</v>
      </c>
      <c r="O19" s="18">
        <f t="shared" si="4"/>
        <v>-31.317375651041676</v>
      </c>
      <c r="P19" s="16">
        <f t="shared" si="5"/>
        <v>-41.676717562354391</v>
      </c>
    </row>
    <row r="20" spans="1:16" x14ac:dyDescent="0.25">
      <c r="B20" t="s">
        <v>23</v>
      </c>
      <c r="C20" t="s">
        <v>24</v>
      </c>
      <c r="D20" t="s">
        <v>25</v>
      </c>
      <c r="E20" t="s">
        <v>26</v>
      </c>
      <c r="F20" s="25" t="s">
        <v>36</v>
      </c>
      <c r="G20" s="25"/>
      <c r="I20">
        <f t="shared" ref="I20:I83" si="8">I6</f>
        <v>0.5</v>
      </c>
      <c r="J20">
        <f t="shared" si="7"/>
        <v>0.625</v>
      </c>
      <c r="K20" s="18">
        <f t="shared" si="1"/>
        <v>0.45495548975540778</v>
      </c>
      <c r="L20" s="15">
        <f t="shared" si="2"/>
        <v>-10.843242932210629</v>
      </c>
      <c r="M20" s="18">
        <f t="shared" si="6"/>
        <v>-229.38409563145848</v>
      </c>
      <c r="N20" s="18">
        <f t="shared" si="3"/>
        <v>198.52989729322692</v>
      </c>
      <c r="O20" s="18">
        <f t="shared" si="4"/>
        <v>-8.291739004629628</v>
      </c>
      <c r="P20" s="16">
        <f t="shared" si="5"/>
        <v>-43.501987123282191</v>
      </c>
    </row>
    <row r="21" spans="1:16" x14ac:dyDescent="0.25">
      <c r="B21" t="s">
        <v>3</v>
      </c>
      <c r="C21" t="s">
        <v>27</v>
      </c>
      <c r="D21" t="s">
        <v>32</v>
      </c>
      <c r="E21" t="s">
        <v>28</v>
      </c>
      <c r="F21" s="25" t="s">
        <v>48</v>
      </c>
      <c r="G21" s="25"/>
      <c r="I21">
        <f t="shared" si="8"/>
        <v>1</v>
      </c>
      <c r="J21">
        <f t="shared" si="7"/>
        <v>0.75</v>
      </c>
      <c r="K21" s="18">
        <f t="shared" si="1"/>
        <v>23.465541805382617</v>
      </c>
      <c r="L21" s="15">
        <f t="shared" si="2"/>
        <v>-11.091558344544511</v>
      </c>
      <c r="M21" s="18">
        <f t="shared" si="6"/>
        <v>-234.63710035021819</v>
      </c>
      <c r="N21" s="18">
        <f t="shared" si="3"/>
        <v>169.53014397957</v>
      </c>
      <c r="O21" s="18">
        <f t="shared" si="4"/>
        <v>11.067708333333334</v>
      </c>
      <c r="P21" s="16">
        <f t="shared" si="5"/>
        <v>-90.162661081684419</v>
      </c>
    </row>
    <row r="22" spans="1:16" x14ac:dyDescent="0.25">
      <c r="A22" t="s">
        <v>46</v>
      </c>
      <c r="B22">
        <f>B4/2</f>
        <v>3</v>
      </c>
      <c r="C22" s="12">
        <f>Moment(B22,$B$4,$B$5,$B$15*1000,$B$10*1000,$F$6:$F$12,$G$6:$G$12)</f>
        <v>-318.1634578024495</v>
      </c>
      <c r="D22" s="12">
        <f>Biegelinie(B22,$B$4,$B$5,$B$15*1000,$B$10*1000,$F$6:$F$12,$G$6:$G$12)*1000</f>
        <v>-19.432351768198718</v>
      </c>
      <c r="E22" s="12">
        <f>D22*$B$13</f>
        <v>-411.0829632986821</v>
      </c>
      <c r="F22" s="24">
        <f>Querkraft(B22,$B$4,$B$5,$B$15*1000,$B$10*1000,$F$6:$F$12,$G$6:$G$12)/$B$5</f>
        <v>-547.21612879224779</v>
      </c>
      <c r="G22" s="25"/>
      <c r="I22">
        <f t="shared" si="8"/>
        <v>2</v>
      </c>
      <c r="J22">
        <f t="shared" si="7"/>
        <v>1</v>
      </c>
      <c r="K22" s="18">
        <f t="shared" si="1"/>
        <v>58.40016739004195</v>
      </c>
      <c r="L22" s="15">
        <f t="shared" si="2"/>
        <v>-11.639587796038462</v>
      </c>
      <c r="M22" s="18">
        <f t="shared" si="6"/>
        <v>-246.23042541876535</v>
      </c>
      <c r="N22" s="18">
        <f t="shared" si="3"/>
        <v>109.46499406426263</v>
      </c>
      <c r="O22" s="18">
        <f t="shared" si="4"/>
        <v>37.037037037037031</v>
      </c>
      <c r="P22" s="16">
        <f t="shared" si="5"/>
        <v>-95.034589428568452</v>
      </c>
    </row>
    <row r="23" spans="1:16" x14ac:dyDescent="0.25">
      <c r="A23" t="s">
        <v>47</v>
      </c>
      <c r="B23" s="6">
        <v>1</v>
      </c>
      <c r="C23" s="12">
        <f>Moment(B23,$B$4,$B$5,$B$15*1000,$B$10*1000,$F$6:$F$12,$G$6:$G$12)</f>
        <v>58.40016739004195</v>
      </c>
      <c r="D23" s="12">
        <f>Biegelinie(B23,$B$4,$B$5,$B$15*1000,$B$10*1000,$F$6:$F$12,$G$6:$G$12)*1000</f>
        <v>-11.639587796038462</v>
      </c>
      <c r="E23" s="12">
        <f>D23*$B$13</f>
        <v>-246.23042541876535</v>
      </c>
      <c r="F23" s="24">
        <f>Querkraft(B23,$B$4,$B$5,$B$15*1000,$B$10*1000,$F$6:$F$12,$G$6:$G$12)/$B$5</f>
        <v>109.46499406426263</v>
      </c>
      <c r="G23" s="25"/>
      <c r="I23">
        <f t="shared" si="8"/>
        <v>3</v>
      </c>
      <c r="J23">
        <f t="shared" si="7"/>
        <v>1.25</v>
      </c>
      <c r="K23" s="18">
        <f t="shared" si="1"/>
        <v>77.930627496332278</v>
      </c>
      <c r="L23" s="15">
        <f t="shared" si="2"/>
        <v>-12.319833041751364</v>
      </c>
      <c r="M23" s="18">
        <f t="shared" si="6"/>
        <v>-260.62071820026642</v>
      </c>
      <c r="N23" s="18">
        <f t="shared" si="3"/>
        <v>46.179756136881622</v>
      </c>
      <c r="O23" s="18">
        <f t="shared" si="4"/>
        <v>45.64525462962964</v>
      </c>
      <c r="P23" s="16">
        <f t="shared" si="5"/>
        <v>-101.13401320691773</v>
      </c>
    </row>
    <row r="24" spans="1:16" x14ac:dyDescent="0.25">
      <c r="A24" t="s">
        <v>49</v>
      </c>
      <c r="B24" s="12"/>
      <c r="C24" s="12">
        <f>Max_Moment($B$4,$B$5,$B$15*1000,$B$10*1000,$F$6:$F$12,$G$6:$G$12)</f>
        <v>116.64961898320725</v>
      </c>
      <c r="D24" s="12"/>
      <c r="E24" s="12"/>
      <c r="I24">
        <f t="shared" si="8"/>
        <v>4</v>
      </c>
      <c r="J24">
        <f t="shared" si="7"/>
        <v>1.5</v>
      </c>
      <c r="K24" s="18">
        <f t="shared" si="1"/>
        <v>81.152555307842036</v>
      </c>
      <c r="L24" s="15">
        <f t="shared" si="2"/>
        <v>-13.177329601966242</v>
      </c>
      <c r="M24" s="18">
        <f t="shared" si="6"/>
        <v>-278.76068556996142</v>
      </c>
      <c r="N24" s="18">
        <f t="shared" si="3"/>
        <v>-21.160055135315748</v>
      </c>
      <c r="O24" s="18">
        <f t="shared" si="4"/>
        <v>36.458333333333336</v>
      </c>
      <c r="P24" s="16">
        <f t="shared" si="5"/>
        <v>-108.6682799062711</v>
      </c>
    </row>
    <row r="25" spans="1:16" x14ac:dyDescent="0.25">
      <c r="A25" t="s">
        <v>50</v>
      </c>
      <c r="B25" s="12"/>
      <c r="C25" s="12">
        <f>Min_Moment($B$4,$B$5,$B$15*1000,$B$10*1000,$F$6:$F$12,$G$6:$G$12)</f>
        <v>-318.1634578024495</v>
      </c>
      <c r="D25" s="12"/>
      <c r="E25" s="12"/>
      <c r="I25">
        <f t="shared" si="8"/>
        <v>5</v>
      </c>
      <c r="J25">
        <f t="shared" si="7"/>
        <v>1.75</v>
      </c>
      <c r="K25" s="18">
        <f t="shared" si="1"/>
        <v>66.931390763087379</v>
      </c>
      <c r="L25" s="15">
        <f t="shared" si="2"/>
        <v>-14.219316878524669</v>
      </c>
      <c r="M25" s="18">
        <f t="shared" si="6"/>
        <v>-300.80347393015103</v>
      </c>
      <c r="N25" s="18">
        <f t="shared" si="3"/>
        <v>-93.528193228898658</v>
      </c>
      <c r="O25" s="18">
        <f t="shared" si="4"/>
        <v>9.0422453703703614</v>
      </c>
      <c r="P25" s="16">
        <f t="shared" si="5"/>
        <v>-117.53447744861388</v>
      </c>
    </row>
    <row r="26" spans="1:16" x14ac:dyDescent="0.25">
      <c r="I26">
        <f t="shared" si="8"/>
        <v>6</v>
      </c>
      <c r="J26">
        <f t="shared" si="7"/>
        <v>2</v>
      </c>
      <c r="K26" s="18">
        <f t="shared" si="1"/>
        <v>33.893098351635523</v>
      </c>
      <c r="L26" s="15">
        <f t="shared" si="2"/>
        <v>-15.412610034335962</v>
      </c>
      <c r="M26" s="18">
        <f t="shared" si="6"/>
        <v>-326.04707246245641</v>
      </c>
      <c r="N26" s="18">
        <f t="shared" si="3"/>
        <v>-171.83108489493392</v>
      </c>
      <c r="O26" s="18">
        <f t="shared" si="4"/>
        <v>-37.037037037037031</v>
      </c>
      <c r="P26" s="16">
        <f t="shared" si="5"/>
        <v>-127.29642753688709</v>
      </c>
    </row>
    <row r="27" spans="1:16" x14ac:dyDescent="0.25">
      <c r="I27">
        <f t="shared" si="8"/>
        <v>7</v>
      </c>
      <c r="J27">
        <f t="shared" si="7"/>
        <v>2.25</v>
      </c>
      <c r="K27" s="18">
        <f t="shared" si="1"/>
        <v>-19.531607140632474</v>
      </c>
      <c r="L27" s="15">
        <f t="shared" si="2"/>
        <v>-16.680427846318533</v>
      </c>
      <c r="M27" s="18">
        <f t="shared" si="6"/>
        <v>-352.8672077342747</v>
      </c>
      <c r="N27" s="18">
        <f t="shared" si="3"/>
        <v>-256.68588008927424</v>
      </c>
      <c r="O27" s="18">
        <f t="shared" si="4"/>
        <v>-102.21354166666667</v>
      </c>
      <c r="P27" s="16">
        <f t="shared" si="5"/>
        <v>-137.15777253308386</v>
      </c>
    </row>
    <row r="28" spans="1:16" x14ac:dyDescent="0.25">
      <c r="I28">
        <f t="shared" si="8"/>
        <v>8</v>
      </c>
      <c r="J28">
        <f t="shared" si="7"/>
        <v>2.5</v>
      </c>
      <c r="K28" s="18">
        <f t="shared" si="1"/>
        <v>-95.005344165274437</v>
      </c>
      <c r="L28" s="15">
        <f t="shared" si="2"/>
        <v>-17.898779714356547</v>
      </c>
      <c r="M28" s="18">
        <f t="shared" si="6"/>
        <v>-378.64091244217258</v>
      </c>
      <c r="N28" s="18">
        <f t="shared" si="3"/>
        <v>-348.18048573539869</v>
      </c>
      <c r="O28" s="18">
        <f t="shared" si="4"/>
        <v>-186.92129629629639</v>
      </c>
      <c r="P28" s="16">
        <f t="shared" si="5"/>
        <v>-145.93250454804527</v>
      </c>
    </row>
    <row r="29" spans="1:16" x14ac:dyDescent="0.25">
      <c r="I29">
        <f t="shared" si="8"/>
        <v>9</v>
      </c>
      <c r="J29">
        <f t="shared" si="7"/>
        <v>2.75</v>
      </c>
      <c r="K29" s="18">
        <f t="shared" si="1"/>
        <v>-194.11970630450529</v>
      </c>
      <c r="L29" s="15">
        <f t="shared" si="2"/>
        <v>-18.892648663490689</v>
      </c>
      <c r="M29" s="18">
        <f t="shared" si="6"/>
        <v>-399.66577848073558</v>
      </c>
      <c r="N29" s="18">
        <f t="shared" si="3"/>
        <v>-445.61381689434535</v>
      </c>
      <c r="O29" s="18">
        <f t="shared" si="4"/>
        <v>-291.59432870370375</v>
      </c>
      <c r="P29" s="16">
        <f t="shared" si="5"/>
        <v>-75.617982750205954</v>
      </c>
    </row>
    <row r="30" spans="1:16" x14ac:dyDescent="0.25">
      <c r="I30">
        <f t="shared" si="8"/>
        <v>9.5</v>
      </c>
      <c r="J30">
        <f t="shared" si="7"/>
        <v>2.875</v>
      </c>
      <c r="K30" s="18">
        <f t="shared" si="1"/>
        <v>-252.96449025162966</v>
      </c>
      <c r="L30" s="15">
        <f t="shared" si="2"/>
        <v>-19.235849234186965</v>
      </c>
      <c r="M30" s="18">
        <f t="shared" si="6"/>
        <v>-406.92603752146113</v>
      </c>
      <c r="N30" s="18">
        <f t="shared" si="3"/>
        <v>-496.05423178062097</v>
      </c>
      <c r="O30" s="18">
        <f t="shared" si="4"/>
        <v>-351.55345775462956</v>
      </c>
      <c r="P30" s="16">
        <f t="shared" si="5"/>
        <v>-75.150195248451368</v>
      </c>
    </row>
    <row r="31" spans="1:16" x14ac:dyDescent="0.25">
      <c r="I31">
        <f t="shared" si="8"/>
        <v>9.99</v>
      </c>
      <c r="J31">
        <f t="shared" si="7"/>
        <v>2.9975000000000001</v>
      </c>
      <c r="K31" s="18">
        <f t="shared" si="1"/>
        <v>-316.79670206545501</v>
      </c>
      <c r="L31" s="15">
        <f t="shared" si="2"/>
        <v>-19.430097314289846</v>
      </c>
      <c r="M31" s="18">
        <f t="shared" si="6"/>
        <v>-411.03527130522014</v>
      </c>
      <c r="N31" s="18">
        <f t="shared" si="3"/>
        <v>-546.18848067510487</v>
      </c>
      <c r="O31" s="18">
        <f t="shared" si="4"/>
        <v>-415.31354159432868</v>
      </c>
      <c r="P31" s="16">
        <f t="shared" si="5"/>
        <v>-1.541471689882284</v>
      </c>
    </row>
    <row r="32" spans="1:16" x14ac:dyDescent="0.25">
      <c r="I32">
        <f t="shared" si="8"/>
        <v>10</v>
      </c>
      <c r="J32">
        <f t="shared" si="7"/>
        <v>3</v>
      </c>
      <c r="K32" s="18">
        <f t="shared" si="1"/>
        <v>-318.1634578024495</v>
      </c>
      <c r="L32" s="15">
        <f t="shared" si="2"/>
        <v>-19.432351768198718</v>
      </c>
      <c r="M32" s="18">
        <f t="shared" si="6"/>
        <v>-411.0829632986821</v>
      </c>
      <c r="N32" s="18">
        <f t="shared" si="3"/>
        <v>-547.21612879224779</v>
      </c>
      <c r="O32" s="18">
        <f t="shared" si="4"/>
        <v>-416.66666666666669</v>
      </c>
      <c r="P32" s="16">
        <f t="shared" si="5"/>
        <v>-1.541647617919979</v>
      </c>
    </row>
    <row r="33" spans="9:16" x14ac:dyDescent="0.25">
      <c r="I33">
        <f>I19</f>
        <v>0.01</v>
      </c>
      <c r="J33">
        <f t="shared" ref="J33:J46" si="9">IF($F$8=0,J32,$J$32+($F$8-$J$32)/10*I33)</f>
        <v>3.0024999999999999</v>
      </c>
      <c r="K33" s="18">
        <f t="shared" si="1"/>
        <v>-316.69944947382061</v>
      </c>
      <c r="L33" s="15">
        <f t="shared" si="2"/>
        <v>-19.434532682420169</v>
      </c>
      <c r="M33" s="18">
        <f t="shared" si="6"/>
        <v>-411.12909959199078</v>
      </c>
      <c r="N33" s="18">
        <f t="shared" si="3"/>
        <v>585.08943913863368</v>
      </c>
      <c r="O33" s="18">
        <f t="shared" si="4"/>
        <v>-415.18854173900468</v>
      </c>
      <c r="P33" s="16">
        <f t="shared" si="5"/>
        <v>-75.590749907735372</v>
      </c>
    </row>
    <row r="34" spans="9:16" x14ac:dyDescent="0.25">
      <c r="I34">
        <f t="shared" si="8"/>
        <v>0.5</v>
      </c>
      <c r="J34">
        <f t="shared" si="9"/>
        <v>3.125</v>
      </c>
      <c r="K34" s="18">
        <f t="shared" si="1"/>
        <v>-248.11408074598003</v>
      </c>
      <c r="L34" s="15">
        <f t="shared" si="2"/>
        <v>-19.458086103583639</v>
      </c>
      <c r="M34" s="18">
        <f t="shared" si="6"/>
        <v>-411.62736198880197</v>
      </c>
      <c r="N34" s="18">
        <f t="shared" si="3"/>
        <v>534.6617844878607</v>
      </c>
      <c r="O34" s="18">
        <f t="shared" si="4"/>
        <v>-345.32154224537027</v>
      </c>
      <c r="P34" s="16">
        <f t="shared" si="5"/>
        <v>-76.945790084896089</v>
      </c>
    </row>
    <row r="35" spans="9:16" x14ac:dyDescent="0.25">
      <c r="I35">
        <f t="shared" si="8"/>
        <v>1</v>
      </c>
      <c r="J35">
        <f t="shared" si="9"/>
        <v>3.25</v>
      </c>
      <c r="K35" s="18">
        <f t="shared" si="1"/>
        <v>-184.49242276642511</v>
      </c>
      <c r="L35" s="15">
        <f t="shared" si="2"/>
        <v>-19.33992580819427</v>
      </c>
      <c r="M35" s="18">
        <f t="shared" si="6"/>
        <v>-409.12773225008959</v>
      </c>
      <c r="N35" s="18">
        <f t="shared" si="3"/>
        <v>483.33708924180246</v>
      </c>
      <c r="O35" s="18">
        <f t="shared" si="4"/>
        <v>-279.23900462962956</v>
      </c>
      <c r="P35" s="16">
        <f t="shared" si="5"/>
        <v>-151.34279484312768</v>
      </c>
    </row>
    <row r="36" spans="9:16" x14ac:dyDescent="0.25">
      <c r="I36">
        <f t="shared" si="8"/>
        <v>2</v>
      </c>
      <c r="J36">
        <f t="shared" si="9"/>
        <v>3.5</v>
      </c>
      <c r="K36" s="18">
        <f t="shared" ref="K36:K67" si="10">Moment(J36,$B$4,$B$5,$B$15*1000,$B$10*1000,$F$6:$F$12,$G$6:$G$12)</f>
        <v>-76.344599571329709</v>
      </c>
      <c r="L36" s="15">
        <f t="shared" ref="L36:L67" si="11">Biegelinie(J36,$B$4,$B$5,$B$15*1000,$B$10*1000,$F$6:$F$12,$G$6:$G$12)*1000</f>
        <v>-18.815505116661619</v>
      </c>
      <c r="M36" s="18">
        <f t="shared" si="6"/>
        <v>-398.0338402465913</v>
      </c>
      <c r="N36" s="18">
        <f t="shared" ref="N36:N67" si="12">Querkraft(J36,$B$4,$B$5,$B$15*1000,$B$10*1000,$F$6:$F$12,$G$6:$G$12)/$B$5</f>
        <v>382.31141894557589</v>
      </c>
      <c r="O36" s="18">
        <f t="shared" ref="O36:O67" si="13">Moment(J36,$B$4,$B$5,$B$15*1000,$B$10*1000,$F$6:$F$12,$G$6:$G$12,TRUE)</f>
        <v>-163.07870370370378</v>
      </c>
      <c r="P36" s="16">
        <f t="shared" ref="P36:P67" si="14">(M37+M36)/2*(J37-J36)*$B$5</f>
        <v>-146.46258602666711</v>
      </c>
    </row>
    <row r="37" spans="9:16" x14ac:dyDescent="0.25">
      <c r="I37">
        <f t="shared" si="8"/>
        <v>3</v>
      </c>
      <c r="J37">
        <f t="shared" si="9"/>
        <v>3.75</v>
      </c>
      <c r="K37" s="18">
        <f t="shared" si="10"/>
        <v>6.9457914793408309</v>
      </c>
      <c r="L37" s="15">
        <f t="shared" si="11"/>
        <v>-18.109563499976407</v>
      </c>
      <c r="M37" s="18">
        <f t="shared" si="6"/>
        <v>-383.09995189563335</v>
      </c>
      <c r="N37" s="18">
        <f t="shared" si="12"/>
        <v>284.63678643507103</v>
      </c>
      <c r="O37" s="18">
        <f t="shared" si="13"/>
        <v>-68.619791666666671</v>
      </c>
      <c r="P37" s="16">
        <f t="shared" si="14"/>
        <v>-140.90783104875553</v>
      </c>
    </row>
    <row r="38" spans="9:16" x14ac:dyDescent="0.25">
      <c r="I38">
        <f t="shared" si="8"/>
        <v>4</v>
      </c>
      <c r="J38">
        <f t="shared" si="9"/>
        <v>4</v>
      </c>
      <c r="K38" s="18">
        <f t="shared" si="10"/>
        <v>66.290867599619318</v>
      </c>
      <c r="L38" s="15">
        <f t="shared" si="11"/>
        <v>-17.415081197677615</v>
      </c>
      <c r="M38" s="18">
        <f t="shared" si="6"/>
        <v>-368.40848036439615</v>
      </c>
      <c r="N38" s="18">
        <f t="shared" si="12"/>
        <v>190.73798452662791</v>
      </c>
      <c r="O38" s="18">
        <f t="shared" si="13"/>
        <v>3.7037037037037712</v>
      </c>
      <c r="P38" s="16">
        <f t="shared" si="14"/>
        <v>-135.98956716382233</v>
      </c>
    </row>
    <row r="39" spans="9:16" x14ac:dyDescent="0.25">
      <c r="I39">
        <f t="shared" si="8"/>
        <v>5</v>
      </c>
      <c r="J39">
        <f t="shared" si="9"/>
        <v>4.25</v>
      </c>
      <c r="K39" s="18">
        <f t="shared" si="10"/>
        <v>102.59370223553593</v>
      </c>
      <c r="L39" s="15">
        <f t="shared" si="11"/>
        <v>-16.869607028138436</v>
      </c>
      <c r="M39" s="18">
        <f t="shared" si="6"/>
        <v>-356.86921117598956</v>
      </c>
      <c r="N39" s="18">
        <f t="shared" si="12"/>
        <v>100.16672937817394</v>
      </c>
      <c r="O39" s="18">
        <f t="shared" si="13"/>
        <v>53.457754629629562</v>
      </c>
      <c r="P39" s="16">
        <f t="shared" si="14"/>
        <v>-132.5872487617282</v>
      </c>
    </row>
    <row r="40" spans="9:16" x14ac:dyDescent="0.25">
      <c r="I40">
        <f t="shared" si="8"/>
        <v>6</v>
      </c>
      <c r="J40">
        <f t="shared" si="9"/>
        <v>4.5</v>
      </c>
      <c r="K40" s="18">
        <f t="shared" si="10"/>
        <v>116.566234690847</v>
      </c>
      <c r="L40" s="15">
        <f t="shared" si="11"/>
        <v>-16.557313737323604</v>
      </c>
      <c r="M40" s="18">
        <f t="shared" si="6"/>
        <v>-350.26278221989423</v>
      </c>
      <c r="N40" s="18">
        <f t="shared" si="12"/>
        <v>11.889272954788973</v>
      </c>
      <c r="O40" s="18">
        <f t="shared" si="13"/>
        <v>80.208333333333329</v>
      </c>
      <c r="P40" s="16">
        <f t="shared" si="14"/>
        <v>-131.16335145322924</v>
      </c>
    </row>
    <row r="41" spans="9:16" x14ac:dyDescent="0.25">
      <c r="I41">
        <f t="shared" si="8"/>
        <v>7</v>
      </c>
      <c r="J41">
        <f t="shared" si="9"/>
        <v>4.75</v>
      </c>
      <c r="K41" s="18">
        <f t="shared" si="10"/>
        <v>108.61779962787689</v>
      </c>
      <c r="L41" s="15">
        <f t="shared" si="11"/>
        <v>-16.510624524512579</v>
      </c>
      <c r="M41" s="18">
        <f t="shared" si="6"/>
        <v>-349.27509219732843</v>
      </c>
      <c r="N41" s="18">
        <f t="shared" si="12"/>
        <v>-75.435870053029021</v>
      </c>
      <c r="O41" s="18">
        <f t="shared" si="13"/>
        <v>83.521412037037109</v>
      </c>
      <c r="P41" s="16">
        <f t="shared" si="14"/>
        <v>-131.77354919654368</v>
      </c>
    </row>
    <row r="42" spans="9:16" x14ac:dyDescent="0.25">
      <c r="I42">
        <f t="shared" si="8"/>
        <v>8</v>
      </c>
      <c r="J42">
        <f t="shared" si="9"/>
        <v>5</v>
      </c>
      <c r="K42" s="18">
        <f t="shared" si="10"/>
        <v>78.81215436401321</v>
      </c>
      <c r="L42" s="15">
        <f t="shared" si="11"/>
        <v>-16.711152298780526</v>
      </c>
      <c r="M42" s="18">
        <f t="shared" si="6"/>
        <v>-353.5171701842379</v>
      </c>
      <c r="N42" s="18">
        <f t="shared" si="12"/>
        <v>-163.1870586670212</v>
      </c>
      <c r="O42" s="18">
        <f t="shared" si="13"/>
        <v>62.962962962962898</v>
      </c>
      <c r="P42" s="16">
        <f t="shared" si="14"/>
        <v>-134.07104383505077</v>
      </c>
    </row>
    <row r="43" spans="9:16" x14ac:dyDescent="0.25">
      <c r="I43">
        <f t="shared" si="8"/>
        <v>9</v>
      </c>
      <c r="J43">
        <f t="shared" si="9"/>
        <v>5.25</v>
      </c>
      <c r="K43" s="18">
        <f t="shared" si="10"/>
        <v>26.891773086739914</v>
      </c>
      <c r="L43" s="15">
        <f t="shared" si="11"/>
        <v>-17.08985195367859</v>
      </c>
      <c r="M43" s="18">
        <f t="shared" si="6"/>
        <v>-361.52839693603289</v>
      </c>
      <c r="N43" s="18">
        <f t="shared" si="12"/>
        <v>-252.51155787114399</v>
      </c>
      <c r="O43" s="18">
        <f t="shared" si="13"/>
        <v>18.098958333333332</v>
      </c>
      <c r="P43" s="16">
        <f t="shared" si="14"/>
        <v>-68.224088329978429</v>
      </c>
    </row>
    <row r="44" spans="9:16" x14ac:dyDescent="0.25">
      <c r="I44">
        <f t="shared" si="8"/>
        <v>9.5</v>
      </c>
      <c r="J44">
        <f t="shared" si="9"/>
        <v>5.375</v>
      </c>
      <c r="K44" s="18">
        <f t="shared" si="10"/>
        <v>-7.5086744986638765</v>
      </c>
      <c r="L44" s="15">
        <f t="shared" si="11"/>
        <v>-17.310457521033928</v>
      </c>
      <c r="M44" s="18">
        <f t="shared" si="6"/>
        <v>-366.19521191707037</v>
      </c>
      <c r="N44" s="18">
        <f t="shared" si="12"/>
        <v>-297.9929750285105</v>
      </c>
      <c r="O44" s="18">
        <f t="shared" si="13"/>
        <v>-13.583260995370438</v>
      </c>
      <c r="P44" s="16">
        <f t="shared" si="14"/>
        <v>-67.700125720574036</v>
      </c>
    </row>
    <row r="45" spans="9:16" x14ac:dyDescent="0.25">
      <c r="I45">
        <f t="shared" si="8"/>
        <v>9.99</v>
      </c>
      <c r="J45">
        <f t="shared" si="9"/>
        <v>5.4975000000000005</v>
      </c>
      <c r="K45" s="18">
        <f t="shared" si="10"/>
        <v>-46.771817124163213</v>
      </c>
      <c r="L45" s="15">
        <f t="shared" si="11"/>
        <v>-17.52231215817471</v>
      </c>
      <c r="M45" s="18">
        <f t="shared" si="6"/>
        <v>-370.67690476944671</v>
      </c>
      <c r="N45" s="18">
        <f t="shared" si="12"/>
        <v>-343.12958328600462</v>
      </c>
      <c r="O45" s="18">
        <f t="shared" si="13"/>
        <v>-50.684707682291751</v>
      </c>
      <c r="P45" s="16">
        <f t="shared" si="14"/>
        <v>-1.3902021966238489</v>
      </c>
    </row>
    <row r="46" spans="9:16" x14ac:dyDescent="0.25">
      <c r="I46">
        <f t="shared" si="8"/>
        <v>10</v>
      </c>
      <c r="J46">
        <f t="shared" si="9"/>
        <v>5.5</v>
      </c>
      <c r="K46" s="18">
        <f t="shared" si="10"/>
        <v>-47.630799538767711</v>
      </c>
      <c r="L46" s="15">
        <f t="shared" si="11"/>
        <v>-17.526441857407296</v>
      </c>
      <c r="M46" s="18">
        <f t="shared" si="6"/>
        <v>-370.76426676342021</v>
      </c>
      <c r="N46" s="18">
        <f t="shared" si="12"/>
        <v>-344.05638479857447</v>
      </c>
      <c r="O46" s="18">
        <f t="shared" si="13"/>
        <v>-51.504629629629562</v>
      </c>
      <c r="P46" s="16">
        <f t="shared" si="14"/>
        <v>0</v>
      </c>
    </row>
    <row r="47" spans="9:16" x14ac:dyDescent="0.25">
      <c r="I47">
        <f>I33</f>
        <v>0.01</v>
      </c>
      <c r="J47">
        <f t="shared" ref="J47:J60" si="15">IF($F$9=0,J46,$J$46+($F$9-$J$46)/10*I47)</f>
        <v>5.5</v>
      </c>
      <c r="K47" s="18">
        <f t="shared" si="10"/>
        <v>-47.630799538767711</v>
      </c>
      <c r="L47" s="15">
        <f t="shared" si="11"/>
        <v>-17.526441857407296</v>
      </c>
      <c r="M47" s="18">
        <f t="shared" si="6"/>
        <v>-370.76426676342021</v>
      </c>
      <c r="N47" s="18">
        <f t="shared" si="12"/>
        <v>-344.05638479857447</v>
      </c>
      <c r="O47" s="18">
        <f t="shared" si="13"/>
        <v>-51.504629629629562</v>
      </c>
      <c r="P47" s="16">
        <f t="shared" si="14"/>
        <v>0</v>
      </c>
    </row>
    <row r="48" spans="9:16" x14ac:dyDescent="0.25">
      <c r="I48">
        <f t="shared" si="8"/>
        <v>0.5</v>
      </c>
      <c r="J48">
        <f t="shared" si="15"/>
        <v>5.5</v>
      </c>
      <c r="K48" s="18">
        <f t="shared" si="10"/>
        <v>-47.630799538767711</v>
      </c>
      <c r="L48" s="15">
        <f t="shared" si="11"/>
        <v>-17.526441857407296</v>
      </c>
      <c r="M48" s="18">
        <f t="shared" si="6"/>
        <v>-370.76426676342021</v>
      </c>
      <c r="N48" s="18">
        <f t="shared" si="12"/>
        <v>-344.05638479857447</v>
      </c>
      <c r="O48" s="18">
        <f t="shared" si="13"/>
        <v>-51.504629629629562</v>
      </c>
      <c r="P48" s="16">
        <f t="shared" si="14"/>
        <v>0</v>
      </c>
    </row>
    <row r="49" spans="7:16" x14ac:dyDescent="0.25">
      <c r="I49">
        <f t="shared" si="8"/>
        <v>1</v>
      </c>
      <c r="J49">
        <f t="shared" si="15"/>
        <v>5.5</v>
      </c>
      <c r="K49" s="18">
        <f t="shared" si="10"/>
        <v>-47.630799538767711</v>
      </c>
      <c r="L49" s="15">
        <f t="shared" si="11"/>
        <v>-17.526441857407296</v>
      </c>
      <c r="M49" s="18">
        <f t="shared" si="6"/>
        <v>-370.76426676342021</v>
      </c>
      <c r="N49" s="18">
        <f t="shared" si="12"/>
        <v>-344.05638479857447</v>
      </c>
      <c r="O49" s="18">
        <f t="shared" si="13"/>
        <v>-51.504629629629562</v>
      </c>
      <c r="P49" s="16">
        <f t="shared" si="14"/>
        <v>0</v>
      </c>
    </row>
    <row r="50" spans="7:16" x14ac:dyDescent="0.25">
      <c r="G50" t="s">
        <v>51</v>
      </c>
      <c r="I50">
        <f t="shared" si="8"/>
        <v>2</v>
      </c>
      <c r="J50">
        <f t="shared" si="15"/>
        <v>5.5</v>
      </c>
      <c r="K50" s="18">
        <f t="shared" si="10"/>
        <v>-47.630799538767711</v>
      </c>
      <c r="L50" s="15">
        <f t="shared" si="11"/>
        <v>-17.526441857407296</v>
      </c>
      <c r="M50" s="18">
        <f t="shared" si="6"/>
        <v>-370.76426676342021</v>
      </c>
      <c r="N50" s="18">
        <f t="shared" si="12"/>
        <v>-344.05638479857447</v>
      </c>
      <c r="O50" s="18">
        <f t="shared" si="13"/>
        <v>-51.504629629629562</v>
      </c>
      <c r="P50" s="16">
        <f t="shared" si="14"/>
        <v>0</v>
      </c>
    </row>
    <row r="51" spans="7:16" x14ac:dyDescent="0.25">
      <c r="G51" t="s">
        <v>52</v>
      </c>
      <c r="I51">
        <f t="shared" si="8"/>
        <v>3</v>
      </c>
      <c r="J51">
        <f t="shared" si="15"/>
        <v>5.5</v>
      </c>
      <c r="K51" s="18">
        <f t="shared" si="10"/>
        <v>-47.630799538767711</v>
      </c>
      <c r="L51" s="15">
        <f t="shared" si="11"/>
        <v>-17.526441857407296</v>
      </c>
      <c r="M51" s="18">
        <f t="shared" si="6"/>
        <v>-370.76426676342021</v>
      </c>
      <c r="N51" s="18">
        <f t="shared" si="12"/>
        <v>-344.05638479857447</v>
      </c>
      <c r="O51" s="18">
        <f t="shared" si="13"/>
        <v>-51.504629629629562</v>
      </c>
      <c r="P51" s="16">
        <f t="shared" si="14"/>
        <v>0</v>
      </c>
    </row>
    <row r="52" spans="7:16" x14ac:dyDescent="0.25">
      <c r="G52" s="15">
        <f>SUM(G6:G12)</f>
        <v>3000</v>
      </c>
      <c r="H52" t="s">
        <v>8</v>
      </c>
      <c r="I52">
        <f t="shared" si="8"/>
        <v>4</v>
      </c>
      <c r="J52">
        <f t="shared" si="15"/>
        <v>5.5</v>
      </c>
      <c r="K52" s="18">
        <f t="shared" si="10"/>
        <v>-47.630799538767711</v>
      </c>
      <c r="L52" s="15">
        <f t="shared" si="11"/>
        <v>-17.526441857407296</v>
      </c>
      <c r="M52" s="18">
        <f t="shared" si="6"/>
        <v>-370.76426676342021</v>
      </c>
      <c r="N52" s="18">
        <f t="shared" si="12"/>
        <v>-344.05638479857447</v>
      </c>
      <c r="O52" s="18">
        <f t="shared" si="13"/>
        <v>-51.504629629629562</v>
      </c>
      <c r="P52" s="16">
        <f t="shared" si="14"/>
        <v>0</v>
      </c>
    </row>
    <row r="53" spans="7:16" x14ac:dyDescent="0.25">
      <c r="G53" t="s">
        <v>53</v>
      </c>
      <c r="I53">
        <f t="shared" si="8"/>
        <v>5</v>
      </c>
      <c r="J53">
        <f t="shared" si="15"/>
        <v>5.5</v>
      </c>
      <c r="K53" s="18">
        <f t="shared" si="10"/>
        <v>-47.630799538767711</v>
      </c>
      <c r="L53" s="15">
        <f t="shared" si="11"/>
        <v>-17.526441857407296</v>
      </c>
      <c r="M53" s="18">
        <f t="shared" si="6"/>
        <v>-370.76426676342021</v>
      </c>
      <c r="N53" s="18">
        <f t="shared" si="12"/>
        <v>-344.05638479857447</v>
      </c>
      <c r="O53" s="18">
        <f t="shared" si="13"/>
        <v>-51.504629629629562</v>
      </c>
      <c r="P53" s="16">
        <f t="shared" si="14"/>
        <v>0</v>
      </c>
    </row>
    <row r="54" spans="7:16" x14ac:dyDescent="0.25">
      <c r="G54" s="15">
        <f>-SUM(P4:P115)</f>
        <v>3000.5389316544129</v>
      </c>
      <c r="H54" t="s">
        <v>8</v>
      </c>
      <c r="I54">
        <f t="shared" si="8"/>
        <v>6</v>
      </c>
      <c r="J54">
        <f t="shared" si="15"/>
        <v>5.5</v>
      </c>
      <c r="K54" s="18">
        <f t="shared" si="10"/>
        <v>-47.630799538767711</v>
      </c>
      <c r="L54" s="15">
        <f t="shared" si="11"/>
        <v>-17.526441857407296</v>
      </c>
      <c r="M54" s="18">
        <f t="shared" si="6"/>
        <v>-370.76426676342021</v>
      </c>
      <c r="N54" s="18">
        <f t="shared" si="12"/>
        <v>-344.05638479857447</v>
      </c>
      <c r="O54" s="18">
        <f t="shared" si="13"/>
        <v>-51.504629629629562</v>
      </c>
      <c r="P54" s="16">
        <f t="shared" si="14"/>
        <v>0</v>
      </c>
    </row>
    <row r="55" spans="7:16" x14ac:dyDescent="0.25">
      <c r="I55">
        <f t="shared" si="8"/>
        <v>7</v>
      </c>
      <c r="J55">
        <f t="shared" si="15"/>
        <v>5.5</v>
      </c>
      <c r="K55" s="18">
        <f t="shared" si="10"/>
        <v>-47.630799538767711</v>
      </c>
      <c r="L55" s="15">
        <f t="shared" si="11"/>
        <v>-17.526441857407296</v>
      </c>
      <c r="M55" s="18">
        <f t="shared" si="6"/>
        <v>-370.76426676342021</v>
      </c>
      <c r="N55" s="18">
        <f t="shared" si="12"/>
        <v>-344.05638479857447</v>
      </c>
      <c r="O55" s="18">
        <f t="shared" si="13"/>
        <v>-51.504629629629562</v>
      </c>
      <c r="P55" s="16">
        <f t="shared" si="14"/>
        <v>0</v>
      </c>
    </row>
    <row r="56" spans="7:16" x14ac:dyDescent="0.25">
      <c r="I56">
        <f t="shared" si="8"/>
        <v>8</v>
      </c>
      <c r="J56">
        <f t="shared" si="15"/>
        <v>5.5</v>
      </c>
      <c r="K56" s="18">
        <f t="shared" si="10"/>
        <v>-47.630799538767711</v>
      </c>
      <c r="L56" s="15">
        <f t="shared" si="11"/>
        <v>-17.526441857407296</v>
      </c>
      <c r="M56" s="18">
        <f t="shared" si="6"/>
        <v>-370.76426676342021</v>
      </c>
      <c r="N56" s="18">
        <f t="shared" si="12"/>
        <v>-344.05638479857447</v>
      </c>
      <c r="O56" s="18">
        <f t="shared" si="13"/>
        <v>-51.504629629629562</v>
      </c>
      <c r="P56" s="16">
        <f t="shared" si="14"/>
        <v>0</v>
      </c>
    </row>
    <row r="57" spans="7:16" x14ac:dyDescent="0.25">
      <c r="I57">
        <f t="shared" si="8"/>
        <v>9</v>
      </c>
      <c r="J57">
        <f t="shared" si="15"/>
        <v>5.5</v>
      </c>
      <c r="K57" s="18">
        <f t="shared" si="10"/>
        <v>-47.630799538767711</v>
      </c>
      <c r="L57" s="15">
        <f t="shared" si="11"/>
        <v>-17.526441857407296</v>
      </c>
      <c r="M57" s="18">
        <f t="shared" si="6"/>
        <v>-370.76426676342021</v>
      </c>
      <c r="N57" s="18">
        <f t="shared" si="12"/>
        <v>-344.05638479857447</v>
      </c>
      <c r="O57" s="18">
        <f t="shared" si="13"/>
        <v>-51.504629629629562</v>
      </c>
      <c r="P57" s="16">
        <f t="shared" si="14"/>
        <v>0</v>
      </c>
    </row>
    <row r="58" spans="7:16" x14ac:dyDescent="0.25">
      <c r="I58">
        <f t="shared" si="8"/>
        <v>9.5</v>
      </c>
      <c r="J58">
        <f t="shared" si="15"/>
        <v>5.5</v>
      </c>
      <c r="K58" s="18">
        <f t="shared" si="10"/>
        <v>-47.630799538767711</v>
      </c>
      <c r="L58" s="15">
        <f t="shared" si="11"/>
        <v>-17.526441857407296</v>
      </c>
      <c r="M58" s="18">
        <f t="shared" si="6"/>
        <v>-370.76426676342021</v>
      </c>
      <c r="N58" s="18">
        <f t="shared" si="12"/>
        <v>-344.05638479857447</v>
      </c>
      <c r="O58" s="18">
        <f t="shared" si="13"/>
        <v>-51.504629629629562</v>
      </c>
      <c r="P58" s="16">
        <f t="shared" si="14"/>
        <v>0</v>
      </c>
    </row>
    <row r="59" spans="7:16" x14ac:dyDescent="0.25">
      <c r="I59">
        <f t="shared" si="8"/>
        <v>9.99</v>
      </c>
      <c r="J59">
        <f t="shared" si="15"/>
        <v>5.5</v>
      </c>
      <c r="K59" s="18">
        <f t="shared" si="10"/>
        <v>-47.630799538767711</v>
      </c>
      <c r="L59" s="15">
        <f t="shared" si="11"/>
        <v>-17.526441857407296</v>
      </c>
      <c r="M59" s="18">
        <f t="shared" si="6"/>
        <v>-370.76426676342021</v>
      </c>
      <c r="N59" s="18">
        <f t="shared" si="12"/>
        <v>-344.05638479857447</v>
      </c>
      <c r="O59" s="18">
        <f t="shared" si="13"/>
        <v>-51.504629629629562</v>
      </c>
      <c r="P59" s="16">
        <f t="shared" si="14"/>
        <v>0</v>
      </c>
    </row>
    <row r="60" spans="7:16" x14ac:dyDescent="0.25">
      <c r="I60">
        <f t="shared" si="8"/>
        <v>10</v>
      </c>
      <c r="J60">
        <f t="shared" si="15"/>
        <v>5.5</v>
      </c>
      <c r="K60" s="18">
        <f t="shared" si="10"/>
        <v>-47.630799538767711</v>
      </c>
      <c r="L60" s="15">
        <f t="shared" si="11"/>
        <v>-17.526441857407296</v>
      </c>
      <c r="M60" s="18">
        <f t="shared" si="6"/>
        <v>-370.76426676342021</v>
      </c>
      <c r="N60" s="18">
        <f t="shared" si="12"/>
        <v>-344.05638479857447</v>
      </c>
      <c r="O60" s="18">
        <f t="shared" si="13"/>
        <v>-51.504629629629562</v>
      </c>
      <c r="P60" s="16">
        <f t="shared" si="14"/>
        <v>0</v>
      </c>
    </row>
    <row r="61" spans="7:16" x14ac:dyDescent="0.25">
      <c r="I61">
        <f t="shared" si="8"/>
        <v>0.01</v>
      </c>
      <c r="J61">
        <f t="shared" ref="J61:J74" si="16">IF($F$10=0,J60,$J$60+($F$10-$J$60)/10*I61)</f>
        <v>5.5</v>
      </c>
      <c r="K61" s="18">
        <f t="shared" si="10"/>
        <v>-47.630799538767711</v>
      </c>
      <c r="L61" s="15">
        <f t="shared" si="11"/>
        <v>-17.526441857407296</v>
      </c>
      <c r="M61" s="18">
        <f t="shared" si="6"/>
        <v>-370.76426676342021</v>
      </c>
      <c r="N61" s="18">
        <f t="shared" si="12"/>
        <v>-344.05638479857447</v>
      </c>
      <c r="O61" s="18">
        <f t="shared" si="13"/>
        <v>-51.504629629629562</v>
      </c>
      <c r="P61" s="16">
        <f t="shared" si="14"/>
        <v>0</v>
      </c>
    </row>
    <row r="62" spans="7:16" x14ac:dyDescent="0.25">
      <c r="I62">
        <f t="shared" si="8"/>
        <v>0.5</v>
      </c>
      <c r="J62">
        <f t="shared" si="16"/>
        <v>5.5</v>
      </c>
      <c r="K62" s="18">
        <f t="shared" si="10"/>
        <v>-47.630799538767711</v>
      </c>
      <c r="L62" s="15">
        <f t="shared" si="11"/>
        <v>-17.526441857407296</v>
      </c>
      <c r="M62" s="18">
        <f t="shared" si="6"/>
        <v>-370.76426676342021</v>
      </c>
      <c r="N62" s="18">
        <f t="shared" si="12"/>
        <v>-344.05638479857447</v>
      </c>
      <c r="O62" s="18">
        <f t="shared" si="13"/>
        <v>-51.504629629629562</v>
      </c>
      <c r="P62" s="16">
        <f t="shared" si="14"/>
        <v>0</v>
      </c>
    </row>
    <row r="63" spans="7:16" x14ac:dyDescent="0.25">
      <c r="I63">
        <f t="shared" si="8"/>
        <v>1</v>
      </c>
      <c r="J63">
        <f t="shared" si="16"/>
        <v>5.5</v>
      </c>
      <c r="K63" s="18">
        <f t="shared" si="10"/>
        <v>-47.630799538767711</v>
      </c>
      <c r="L63" s="15">
        <f t="shared" si="11"/>
        <v>-17.526441857407296</v>
      </c>
      <c r="M63" s="18">
        <f t="shared" si="6"/>
        <v>-370.76426676342021</v>
      </c>
      <c r="N63" s="18">
        <f t="shared" si="12"/>
        <v>-344.05638479857447</v>
      </c>
      <c r="O63" s="18">
        <f t="shared" si="13"/>
        <v>-51.504629629629562</v>
      </c>
      <c r="P63" s="16">
        <f t="shared" si="14"/>
        <v>0</v>
      </c>
    </row>
    <row r="64" spans="7:16" x14ac:dyDescent="0.25">
      <c r="I64">
        <f t="shared" si="8"/>
        <v>2</v>
      </c>
      <c r="J64">
        <f t="shared" si="16"/>
        <v>5.5</v>
      </c>
      <c r="K64" s="18">
        <f t="shared" si="10"/>
        <v>-47.630799538767711</v>
      </c>
      <c r="L64" s="15">
        <f t="shared" si="11"/>
        <v>-17.526441857407296</v>
      </c>
      <c r="M64" s="18">
        <f t="shared" si="6"/>
        <v>-370.76426676342021</v>
      </c>
      <c r="N64" s="18">
        <f t="shared" si="12"/>
        <v>-344.05638479857447</v>
      </c>
      <c r="O64" s="18">
        <f t="shared" si="13"/>
        <v>-51.504629629629562</v>
      </c>
      <c r="P64" s="16">
        <f t="shared" si="14"/>
        <v>0</v>
      </c>
    </row>
    <row r="65" spans="9:16" x14ac:dyDescent="0.25">
      <c r="I65">
        <f t="shared" si="8"/>
        <v>3</v>
      </c>
      <c r="J65">
        <f t="shared" si="16"/>
        <v>5.5</v>
      </c>
      <c r="K65" s="18">
        <f t="shared" si="10"/>
        <v>-47.630799538767711</v>
      </c>
      <c r="L65" s="15">
        <f t="shared" si="11"/>
        <v>-17.526441857407296</v>
      </c>
      <c r="M65" s="18">
        <f t="shared" si="6"/>
        <v>-370.76426676342021</v>
      </c>
      <c r="N65" s="18">
        <f t="shared" si="12"/>
        <v>-344.05638479857447</v>
      </c>
      <c r="O65" s="18">
        <f t="shared" si="13"/>
        <v>-51.504629629629562</v>
      </c>
      <c r="P65" s="16">
        <f t="shared" si="14"/>
        <v>0</v>
      </c>
    </row>
    <row r="66" spans="9:16" x14ac:dyDescent="0.25">
      <c r="I66">
        <f t="shared" si="8"/>
        <v>4</v>
      </c>
      <c r="J66">
        <f t="shared" si="16"/>
        <v>5.5</v>
      </c>
      <c r="K66" s="18">
        <f t="shared" si="10"/>
        <v>-47.630799538767711</v>
      </c>
      <c r="L66" s="15">
        <f t="shared" si="11"/>
        <v>-17.526441857407296</v>
      </c>
      <c r="M66" s="18">
        <f t="shared" si="6"/>
        <v>-370.76426676342021</v>
      </c>
      <c r="N66" s="18">
        <f t="shared" si="12"/>
        <v>-344.05638479857447</v>
      </c>
      <c r="O66" s="18">
        <f t="shared" si="13"/>
        <v>-51.504629629629562</v>
      </c>
      <c r="P66" s="16">
        <f t="shared" si="14"/>
        <v>0</v>
      </c>
    </row>
    <row r="67" spans="9:16" x14ac:dyDescent="0.25">
      <c r="I67">
        <f t="shared" si="8"/>
        <v>5</v>
      </c>
      <c r="J67">
        <f t="shared" si="16"/>
        <v>5.5</v>
      </c>
      <c r="K67" s="18">
        <f t="shared" si="10"/>
        <v>-47.630799538767711</v>
      </c>
      <c r="L67" s="15">
        <f t="shared" si="11"/>
        <v>-17.526441857407296</v>
      </c>
      <c r="M67" s="18">
        <f t="shared" si="6"/>
        <v>-370.76426676342021</v>
      </c>
      <c r="N67" s="18">
        <f t="shared" si="12"/>
        <v>-344.05638479857447</v>
      </c>
      <c r="O67" s="18">
        <f t="shared" si="13"/>
        <v>-51.504629629629562</v>
      </c>
      <c r="P67" s="16">
        <f t="shared" si="14"/>
        <v>0</v>
      </c>
    </row>
    <row r="68" spans="9:16" x14ac:dyDescent="0.25">
      <c r="I68">
        <f t="shared" si="8"/>
        <v>6</v>
      </c>
      <c r="J68">
        <f t="shared" si="16"/>
        <v>5.5</v>
      </c>
      <c r="K68" s="18">
        <f t="shared" ref="K68:K99" si="17">Moment(J68,$B$4,$B$5,$B$15*1000,$B$10*1000,$F$6:$F$12,$G$6:$G$12)</f>
        <v>-47.630799538767711</v>
      </c>
      <c r="L68" s="15">
        <f t="shared" ref="L68:L99" si="18">Biegelinie(J68,$B$4,$B$5,$B$15*1000,$B$10*1000,$F$6:$F$12,$G$6:$G$12)*1000</f>
        <v>-17.526441857407296</v>
      </c>
      <c r="M68" s="18">
        <f t="shared" si="6"/>
        <v>-370.76426676342021</v>
      </c>
      <c r="N68" s="18">
        <f t="shared" ref="N68:N99" si="19">Querkraft(J68,$B$4,$B$5,$B$15*1000,$B$10*1000,$F$6:$F$12,$G$6:$G$12)/$B$5</f>
        <v>-344.05638479857447</v>
      </c>
      <c r="O68" s="18">
        <f t="shared" ref="O68:O99" si="20">Moment(J68,$B$4,$B$5,$B$15*1000,$B$10*1000,$F$6:$F$12,$G$6:$G$12,TRUE)</f>
        <v>-51.504629629629562</v>
      </c>
      <c r="P68" s="16">
        <f t="shared" ref="P68:P99" si="21">(M69+M68)/2*(J69-J68)*$B$5</f>
        <v>0</v>
      </c>
    </row>
    <row r="69" spans="9:16" x14ac:dyDescent="0.25">
      <c r="I69">
        <f t="shared" si="8"/>
        <v>7</v>
      </c>
      <c r="J69">
        <f t="shared" si="16"/>
        <v>5.5</v>
      </c>
      <c r="K69" s="18">
        <f t="shared" si="17"/>
        <v>-47.630799538767711</v>
      </c>
      <c r="L69" s="15">
        <f t="shared" si="18"/>
        <v>-17.526441857407296</v>
      </c>
      <c r="M69" s="18">
        <f t="shared" ref="M69:M116" si="22">L69*$B$13</f>
        <v>-370.76426676342021</v>
      </c>
      <c r="N69" s="18">
        <f t="shared" si="19"/>
        <v>-344.05638479857447</v>
      </c>
      <c r="O69" s="18">
        <f t="shared" si="20"/>
        <v>-51.504629629629562</v>
      </c>
      <c r="P69" s="16">
        <f t="shared" si="21"/>
        <v>0</v>
      </c>
    </row>
    <row r="70" spans="9:16" x14ac:dyDescent="0.25">
      <c r="I70">
        <f t="shared" si="8"/>
        <v>8</v>
      </c>
      <c r="J70">
        <f t="shared" si="16"/>
        <v>5.5</v>
      </c>
      <c r="K70" s="18">
        <f t="shared" si="17"/>
        <v>-47.630799538767711</v>
      </c>
      <c r="L70" s="15">
        <f t="shared" si="18"/>
        <v>-17.526441857407296</v>
      </c>
      <c r="M70" s="18">
        <f t="shared" si="22"/>
        <v>-370.76426676342021</v>
      </c>
      <c r="N70" s="18">
        <f t="shared" si="19"/>
        <v>-344.05638479857447</v>
      </c>
      <c r="O70" s="18">
        <f t="shared" si="20"/>
        <v>-51.504629629629562</v>
      </c>
      <c r="P70" s="16">
        <f t="shared" si="21"/>
        <v>0</v>
      </c>
    </row>
    <row r="71" spans="9:16" x14ac:dyDescent="0.25">
      <c r="I71">
        <f t="shared" si="8"/>
        <v>9</v>
      </c>
      <c r="J71">
        <f t="shared" si="16"/>
        <v>5.5</v>
      </c>
      <c r="K71" s="18">
        <f t="shared" si="17"/>
        <v>-47.630799538767711</v>
      </c>
      <c r="L71" s="15">
        <f t="shared" si="18"/>
        <v>-17.526441857407296</v>
      </c>
      <c r="M71" s="18">
        <f t="shared" si="22"/>
        <v>-370.76426676342021</v>
      </c>
      <c r="N71" s="18">
        <f t="shared" si="19"/>
        <v>-344.05638479857447</v>
      </c>
      <c r="O71" s="18">
        <f t="shared" si="20"/>
        <v>-51.504629629629562</v>
      </c>
      <c r="P71" s="16">
        <f t="shared" si="21"/>
        <v>0</v>
      </c>
    </row>
    <row r="72" spans="9:16" x14ac:dyDescent="0.25">
      <c r="I72">
        <f t="shared" si="8"/>
        <v>9.5</v>
      </c>
      <c r="J72">
        <f t="shared" si="16"/>
        <v>5.5</v>
      </c>
      <c r="K72" s="18">
        <f t="shared" si="17"/>
        <v>-47.630799538767711</v>
      </c>
      <c r="L72" s="15">
        <f t="shared" si="18"/>
        <v>-17.526441857407296</v>
      </c>
      <c r="M72" s="18">
        <f t="shared" si="22"/>
        <v>-370.76426676342021</v>
      </c>
      <c r="N72" s="18">
        <f t="shared" si="19"/>
        <v>-344.05638479857447</v>
      </c>
      <c r="O72" s="18">
        <f t="shared" si="20"/>
        <v>-51.504629629629562</v>
      </c>
      <c r="P72" s="16">
        <f t="shared" si="21"/>
        <v>0</v>
      </c>
    </row>
    <row r="73" spans="9:16" x14ac:dyDescent="0.25">
      <c r="I73">
        <f t="shared" si="8"/>
        <v>9.99</v>
      </c>
      <c r="J73">
        <f t="shared" si="16"/>
        <v>5.5</v>
      </c>
      <c r="K73" s="18">
        <f t="shared" si="17"/>
        <v>-47.630799538767711</v>
      </c>
      <c r="L73" s="15">
        <f t="shared" si="18"/>
        <v>-17.526441857407296</v>
      </c>
      <c r="M73" s="18">
        <f t="shared" si="22"/>
        <v>-370.76426676342021</v>
      </c>
      <c r="N73" s="18">
        <f t="shared" si="19"/>
        <v>-344.05638479857447</v>
      </c>
      <c r="O73" s="18">
        <f t="shared" si="20"/>
        <v>-51.504629629629562</v>
      </c>
      <c r="P73" s="16">
        <f t="shared" si="21"/>
        <v>0</v>
      </c>
    </row>
    <row r="74" spans="9:16" x14ac:dyDescent="0.25">
      <c r="I74">
        <f t="shared" si="8"/>
        <v>10</v>
      </c>
      <c r="J74">
        <f t="shared" si="16"/>
        <v>5.5</v>
      </c>
      <c r="K74" s="18">
        <f t="shared" si="17"/>
        <v>-47.630799538767711</v>
      </c>
      <c r="L74" s="15">
        <f t="shared" si="18"/>
        <v>-17.526441857407296</v>
      </c>
      <c r="M74" s="18">
        <f t="shared" si="22"/>
        <v>-370.76426676342021</v>
      </c>
      <c r="N74" s="18">
        <f t="shared" si="19"/>
        <v>-344.05638479857447</v>
      </c>
      <c r="O74" s="18">
        <f t="shared" si="20"/>
        <v>-51.504629629629562</v>
      </c>
      <c r="P74" s="16">
        <f t="shared" si="21"/>
        <v>0</v>
      </c>
    </row>
    <row r="75" spans="9:16" x14ac:dyDescent="0.25">
      <c r="I75">
        <f t="shared" si="8"/>
        <v>0.01</v>
      </c>
      <c r="J75">
        <f t="shared" ref="J75:J88" si="23">IF($F$11=0,J74,$J$74+($F$11-$J$74)/10*I75)</f>
        <v>5.5</v>
      </c>
      <c r="K75" s="18">
        <f t="shared" si="17"/>
        <v>-47.630799538767711</v>
      </c>
      <c r="L75" s="15">
        <f t="shared" si="18"/>
        <v>-17.526441857407296</v>
      </c>
      <c r="M75" s="18">
        <f t="shared" si="22"/>
        <v>-370.76426676342021</v>
      </c>
      <c r="N75" s="18">
        <f t="shared" si="19"/>
        <v>-344.05638479857447</v>
      </c>
      <c r="O75" s="18">
        <f t="shared" si="20"/>
        <v>-51.504629629629562</v>
      </c>
      <c r="P75" s="16">
        <f t="shared" si="21"/>
        <v>0</v>
      </c>
    </row>
    <row r="76" spans="9:16" x14ac:dyDescent="0.25">
      <c r="I76">
        <f t="shared" si="8"/>
        <v>0.5</v>
      </c>
      <c r="J76">
        <f t="shared" si="23"/>
        <v>5.5</v>
      </c>
      <c r="K76" s="18">
        <f t="shared" si="17"/>
        <v>-47.630799538767711</v>
      </c>
      <c r="L76" s="15">
        <f t="shared" si="18"/>
        <v>-17.526441857407296</v>
      </c>
      <c r="M76" s="18">
        <f t="shared" si="22"/>
        <v>-370.76426676342021</v>
      </c>
      <c r="N76" s="18">
        <f t="shared" si="19"/>
        <v>-344.05638479857447</v>
      </c>
      <c r="O76" s="18">
        <f t="shared" si="20"/>
        <v>-51.504629629629562</v>
      </c>
      <c r="P76" s="16">
        <f t="shared" si="21"/>
        <v>0</v>
      </c>
    </row>
    <row r="77" spans="9:16" x14ac:dyDescent="0.25">
      <c r="I77">
        <f t="shared" si="8"/>
        <v>1</v>
      </c>
      <c r="J77">
        <f t="shared" si="23"/>
        <v>5.5</v>
      </c>
      <c r="K77" s="18">
        <f t="shared" si="17"/>
        <v>-47.630799538767711</v>
      </c>
      <c r="L77" s="15">
        <f t="shared" si="18"/>
        <v>-17.526441857407296</v>
      </c>
      <c r="M77" s="18">
        <f t="shared" si="22"/>
        <v>-370.76426676342021</v>
      </c>
      <c r="N77" s="18">
        <f t="shared" si="19"/>
        <v>-344.05638479857447</v>
      </c>
      <c r="O77" s="18">
        <f t="shared" si="20"/>
        <v>-51.504629629629562</v>
      </c>
      <c r="P77" s="16">
        <f t="shared" si="21"/>
        <v>0</v>
      </c>
    </row>
    <row r="78" spans="9:16" x14ac:dyDescent="0.25">
      <c r="I78">
        <f t="shared" si="8"/>
        <v>2</v>
      </c>
      <c r="J78">
        <f t="shared" si="23"/>
        <v>5.5</v>
      </c>
      <c r="K78" s="18">
        <f t="shared" si="17"/>
        <v>-47.630799538767711</v>
      </c>
      <c r="L78" s="15">
        <f t="shared" si="18"/>
        <v>-17.526441857407296</v>
      </c>
      <c r="M78" s="18">
        <f t="shared" si="22"/>
        <v>-370.76426676342021</v>
      </c>
      <c r="N78" s="18">
        <f t="shared" si="19"/>
        <v>-344.05638479857447</v>
      </c>
      <c r="O78" s="18">
        <f t="shared" si="20"/>
        <v>-51.504629629629562</v>
      </c>
      <c r="P78" s="16">
        <f t="shared" si="21"/>
        <v>0</v>
      </c>
    </row>
    <row r="79" spans="9:16" x14ac:dyDescent="0.25">
      <c r="I79">
        <f t="shared" si="8"/>
        <v>3</v>
      </c>
      <c r="J79">
        <f t="shared" si="23"/>
        <v>5.5</v>
      </c>
      <c r="K79" s="18">
        <f t="shared" si="17"/>
        <v>-47.630799538767711</v>
      </c>
      <c r="L79" s="15">
        <f t="shared" si="18"/>
        <v>-17.526441857407296</v>
      </c>
      <c r="M79" s="18">
        <f t="shared" si="22"/>
        <v>-370.76426676342021</v>
      </c>
      <c r="N79" s="18">
        <f t="shared" si="19"/>
        <v>-344.05638479857447</v>
      </c>
      <c r="O79" s="18">
        <f t="shared" si="20"/>
        <v>-51.504629629629562</v>
      </c>
      <c r="P79" s="16">
        <f t="shared" si="21"/>
        <v>0</v>
      </c>
    </row>
    <row r="80" spans="9:16" x14ac:dyDescent="0.25">
      <c r="I80">
        <f t="shared" si="8"/>
        <v>4</v>
      </c>
      <c r="J80">
        <f t="shared" si="23"/>
        <v>5.5</v>
      </c>
      <c r="K80" s="18">
        <f t="shared" si="17"/>
        <v>-47.630799538767711</v>
      </c>
      <c r="L80" s="15">
        <f t="shared" si="18"/>
        <v>-17.526441857407296</v>
      </c>
      <c r="M80" s="18">
        <f t="shared" si="22"/>
        <v>-370.76426676342021</v>
      </c>
      <c r="N80" s="18">
        <f t="shared" si="19"/>
        <v>-344.05638479857447</v>
      </c>
      <c r="O80" s="18">
        <f t="shared" si="20"/>
        <v>-51.504629629629562</v>
      </c>
      <c r="P80" s="16">
        <f t="shared" si="21"/>
        <v>0</v>
      </c>
    </row>
    <row r="81" spans="9:16" x14ac:dyDescent="0.25">
      <c r="I81">
        <f t="shared" si="8"/>
        <v>5</v>
      </c>
      <c r="J81">
        <f t="shared" si="23"/>
        <v>5.5</v>
      </c>
      <c r="K81" s="18">
        <f t="shared" si="17"/>
        <v>-47.630799538767711</v>
      </c>
      <c r="L81" s="15">
        <f t="shared" si="18"/>
        <v>-17.526441857407296</v>
      </c>
      <c r="M81" s="18">
        <f t="shared" si="22"/>
        <v>-370.76426676342021</v>
      </c>
      <c r="N81" s="18">
        <f t="shared" si="19"/>
        <v>-344.05638479857447</v>
      </c>
      <c r="O81" s="18">
        <f t="shared" si="20"/>
        <v>-51.504629629629562</v>
      </c>
      <c r="P81" s="16">
        <f t="shared" si="21"/>
        <v>0</v>
      </c>
    </row>
    <row r="82" spans="9:16" x14ac:dyDescent="0.25">
      <c r="I82">
        <f t="shared" si="8"/>
        <v>6</v>
      </c>
      <c r="J82">
        <f t="shared" si="23"/>
        <v>5.5</v>
      </c>
      <c r="K82" s="18">
        <f t="shared" si="17"/>
        <v>-47.630799538767711</v>
      </c>
      <c r="L82" s="15">
        <f t="shared" si="18"/>
        <v>-17.526441857407296</v>
      </c>
      <c r="M82" s="18">
        <f t="shared" si="22"/>
        <v>-370.76426676342021</v>
      </c>
      <c r="N82" s="18">
        <f t="shared" si="19"/>
        <v>-344.05638479857447</v>
      </c>
      <c r="O82" s="18">
        <f t="shared" si="20"/>
        <v>-51.504629629629562</v>
      </c>
      <c r="P82" s="16">
        <f t="shared" si="21"/>
        <v>0</v>
      </c>
    </row>
    <row r="83" spans="9:16" x14ac:dyDescent="0.25">
      <c r="I83">
        <f t="shared" si="8"/>
        <v>7</v>
      </c>
      <c r="J83">
        <f t="shared" si="23"/>
        <v>5.5</v>
      </c>
      <c r="K83" s="18">
        <f t="shared" si="17"/>
        <v>-47.630799538767711</v>
      </c>
      <c r="L83" s="15">
        <f t="shared" si="18"/>
        <v>-17.526441857407296</v>
      </c>
      <c r="M83" s="18">
        <f t="shared" si="22"/>
        <v>-370.76426676342021</v>
      </c>
      <c r="N83" s="18">
        <f t="shared" si="19"/>
        <v>-344.05638479857447</v>
      </c>
      <c r="O83" s="18">
        <f t="shared" si="20"/>
        <v>-51.504629629629562</v>
      </c>
      <c r="P83" s="16">
        <f t="shared" si="21"/>
        <v>0</v>
      </c>
    </row>
    <row r="84" spans="9:16" x14ac:dyDescent="0.25">
      <c r="I84">
        <f t="shared" ref="I84:I88" si="24">I70</f>
        <v>8</v>
      </c>
      <c r="J84">
        <f t="shared" si="23"/>
        <v>5.5</v>
      </c>
      <c r="K84" s="18">
        <f t="shared" si="17"/>
        <v>-47.630799538767711</v>
      </c>
      <c r="L84" s="15">
        <f t="shared" si="18"/>
        <v>-17.526441857407296</v>
      </c>
      <c r="M84" s="18">
        <f t="shared" si="22"/>
        <v>-370.76426676342021</v>
      </c>
      <c r="N84" s="18">
        <f t="shared" si="19"/>
        <v>-344.05638479857447</v>
      </c>
      <c r="O84" s="18">
        <f t="shared" si="20"/>
        <v>-51.504629629629562</v>
      </c>
      <c r="P84" s="16">
        <f t="shared" si="21"/>
        <v>0</v>
      </c>
    </row>
    <row r="85" spans="9:16" x14ac:dyDescent="0.25">
      <c r="I85">
        <f t="shared" si="24"/>
        <v>9</v>
      </c>
      <c r="J85">
        <f t="shared" si="23"/>
        <v>5.5</v>
      </c>
      <c r="K85" s="18">
        <f t="shared" si="17"/>
        <v>-47.630799538767711</v>
      </c>
      <c r="L85" s="15">
        <f t="shared" si="18"/>
        <v>-17.526441857407296</v>
      </c>
      <c r="M85" s="18">
        <f t="shared" si="22"/>
        <v>-370.76426676342021</v>
      </c>
      <c r="N85" s="18">
        <f t="shared" si="19"/>
        <v>-344.05638479857447</v>
      </c>
      <c r="O85" s="18">
        <f t="shared" si="20"/>
        <v>-51.504629629629562</v>
      </c>
      <c r="P85" s="16">
        <f t="shared" si="21"/>
        <v>0</v>
      </c>
    </row>
    <row r="86" spans="9:16" x14ac:dyDescent="0.25">
      <c r="I86">
        <f t="shared" si="24"/>
        <v>9.5</v>
      </c>
      <c r="J86">
        <f t="shared" si="23"/>
        <v>5.5</v>
      </c>
      <c r="K86" s="18">
        <f t="shared" si="17"/>
        <v>-47.630799538767711</v>
      </c>
      <c r="L86" s="15">
        <f t="shared" si="18"/>
        <v>-17.526441857407296</v>
      </c>
      <c r="M86" s="18">
        <f t="shared" si="22"/>
        <v>-370.76426676342021</v>
      </c>
      <c r="N86" s="18">
        <f t="shared" si="19"/>
        <v>-344.05638479857447</v>
      </c>
      <c r="O86" s="18">
        <f t="shared" si="20"/>
        <v>-51.504629629629562</v>
      </c>
      <c r="P86" s="16">
        <f t="shared" si="21"/>
        <v>0</v>
      </c>
    </row>
    <row r="87" spans="9:16" x14ac:dyDescent="0.25">
      <c r="I87">
        <f t="shared" si="24"/>
        <v>9.99</v>
      </c>
      <c r="J87">
        <f t="shared" si="23"/>
        <v>5.5</v>
      </c>
      <c r="K87" s="18">
        <f t="shared" si="17"/>
        <v>-47.630799538767711</v>
      </c>
      <c r="L87" s="15">
        <f t="shared" si="18"/>
        <v>-17.526441857407296</v>
      </c>
      <c r="M87" s="18">
        <f t="shared" si="22"/>
        <v>-370.76426676342021</v>
      </c>
      <c r="N87" s="18">
        <f t="shared" si="19"/>
        <v>-344.05638479857447</v>
      </c>
      <c r="O87" s="18">
        <f t="shared" si="20"/>
        <v>-51.504629629629562</v>
      </c>
      <c r="P87" s="16">
        <f t="shared" si="21"/>
        <v>0</v>
      </c>
    </row>
    <row r="88" spans="9:16" x14ac:dyDescent="0.25">
      <c r="I88">
        <f t="shared" si="24"/>
        <v>10</v>
      </c>
      <c r="J88">
        <f t="shared" si="23"/>
        <v>5.5</v>
      </c>
      <c r="K88" s="18">
        <f t="shared" si="17"/>
        <v>-47.630799538767711</v>
      </c>
      <c r="L88" s="15">
        <f t="shared" si="18"/>
        <v>-17.526441857407296</v>
      </c>
      <c r="M88" s="18">
        <f t="shared" si="22"/>
        <v>-370.76426676342021</v>
      </c>
      <c r="N88" s="18">
        <f t="shared" si="19"/>
        <v>-344.05638479857447</v>
      </c>
      <c r="O88" s="18">
        <f t="shared" si="20"/>
        <v>-51.504629629629562</v>
      </c>
      <c r="P88" s="16">
        <f t="shared" si="21"/>
        <v>0</v>
      </c>
    </row>
    <row r="89" spans="9:16" x14ac:dyDescent="0.25">
      <c r="I89">
        <f>I75</f>
        <v>0.01</v>
      </c>
      <c r="J89">
        <f t="shared" ref="J89:J102" si="25">IF($F$12=0,J88,$J$88+($F$12-$J$88)/10*I89)</f>
        <v>5.5</v>
      </c>
      <c r="K89" s="18">
        <f t="shared" si="17"/>
        <v>-47.630799538767711</v>
      </c>
      <c r="L89" s="15">
        <f t="shared" si="18"/>
        <v>-17.526441857407296</v>
      </c>
      <c r="M89" s="18">
        <f t="shared" si="22"/>
        <v>-370.76426676342021</v>
      </c>
      <c r="N89" s="18">
        <f t="shared" si="19"/>
        <v>-344.05638479857447</v>
      </c>
      <c r="O89" s="18">
        <f t="shared" si="20"/>
        <v>-51.504629629629562</v>
      </c>
      <c r="P89" s="16">
        <f t="shared" si="21"/>
        <v>0</v>
      </c>
    </row>
    <row r="90" spans="9:16" x14ac:dyDescent="0.25">
      <c r="I90">
        <f t="shared" ref="I90:I116" si="26">I76</f>
        <v>0.5</v>
      </c>
      <c r="J90">
        <f t="shared" si="25"/>
        <v>5.5</v>
      </c>
      <c r="K90" s="18">
        <f t="shared" si="17"/>
        <v>-47.630799538767711</v>
      </c>
      <c r="L90" s="15">
        <f t="shared" si="18"/>
        <v>-17.526441857407296</v>
      </c>
      <c r="M90" s="18">
        <f t="shared" si="22"/>
        <v>-370.76426676342021</v>
      </c>
      <c r="N90" s="18">
        <f t="shared" si="19"/>
        <v>-344.05638479857447</v>
      </c>
      <c r="O90" s="18">
        <f t="shared" si="20"/>
        <v>-51.504629629629562</v>
      </c>
      <c r="P90" s="16">
        <f t="shared" si="21"/>
        <v>0</v>
      </c>
    </row>
    <row r="91" spans="9:16" x14ac:dyDescent="0.25">
      <c r="I91">
        <f t="shared" si="26"/>
        <v>1</v>
      </c>
      <c r="J91">
        <f t="shared" si="25"/>
        <v>5.5</v>
      </c>
      <c r="K91" s="18">
        <f t="shared" si="17"/>
        <v>-47.630799538767711</v>
      </c>
      <c r="L91" s="15">
        <f t="shared" si="18"/>
        <v>-17.526441857407296</v>
      </c>
      <c r="M91" s="18">
        <f t="shared" si="22"/>
        <v>-370.76426676342021</v>
      </c>
      <c r="N91" s="18">
        <f t="shared" si="19"/>
        <v>-344.05638479857447</v>
      </c>
      <c r="O91" s="18">
        <f t="shared" si="20"/>
        <v>-51.504629629629562</v>
      </c>
      <c r="P91" s="16">
        <f t="shared" si="21"/>
        <v>0</v>
      </c>
    </row>
    <row r="92" spans="9:16" x14ac:dyDescent="0.25">
      <c r="I92">
        <f t="shared" si="26"/>
        <v>2</v>
      </c>
      <c r="J92">
        <f t="shared" si="25"/>
        <v>5.5</v>
      </c>
      <c r="K92" s="18">
        <f t="shared" si="17"/>
        <v>-47.630799538767711</v>
      </c>
      <c r="L92" s="15">
        <f t="shared" si="18"/>
        <v>-17.526441857407296</v>
      </c>
      <c r="M92" s="18">
        <f t="shared" si="22"/>
        <v>-370.76426676342021</v>
      </c>
      <c r="N92" s="18">
        <f t="shared" si="19"/>
        <v>-344.05638479857447</v>
      </c>
      <c r="O92" s="18">
        <f t="shared" si="20"/>
        <v>-51.504629629629562</v>
      </c>
      <c r="P92" s="16">
        <f t="shared" si="21"/>
        <v>0</v>
      </c>
    </row>
    <row r="93" spans="9:16" x14ac:dyDescent="0.25">
      <c r="I93">
        <f t="shared" si="26"/>
        <v>3</v>
      </c>
      <c r="J93">
        <f t="shared" si="25"/>
        <v>5.5</v>
      </c>
      <c r="K93" s="18">
        <f t="shared" si="17"/>
        <v>-47.630799538767711</v>
      </c>
      <c r="L93" s="15">
        <f t="shared" si="18"/>
        <v>-17.526441857407296</v>
      </c>
      <c r="M93" s="18">
        <f t="shared" si="22"/>
        <v>-370.76426676342021</v>
      </c>
      <c r="N93" s="18">
        <f t="shared" si="19"/>
        <v>-344.05638479857447</v>
      </c>
      <c r="O93" s="18">
        <f t="shared" si="20"/>
        <v>-51.504629629629562</v>
      </c>
      <c r="P93" s="16">
        <f t="shared" si="21"/>
        <v>0</v>
      </c>
    </row>
    <row r="94" spans="9:16" x14ac:dyDescent="0.25">
      <c r="I94">
        <f t="shared" si="26"/>
        <v>4</v>
      </c>
      <c r="J94">
        <f t="shared" si="25"/>
        <v>5.5</v>
      </c>
      <c r="K94" s="18">
        <f t="shared" si="17"/>
        <v>-47.630799538767711</v>
      </c>
      <c r="L94" s="15">
        <f t="shared" si="18"/>
        <v>-17.526441857407296</v>
      </c>
      <c r="M94" s="18">
        <f t="shared" si="22"/>
        <v>-370.76426676342021</v>
      </c>
      <c r="N94" s="18">
        <f t="shared" si="19"/>
        <v>-344.05638479857447</v>
      </c>
      <c r="O94" s="18">
        <f t="shared" si="20"/>
        <v>-51.504629629629562</v>
      </c>
      <c r="P94" s="16">
        <f t="shared" si="21"/>
        <v>0</v>
      </c>
    </row>
    <row r="95" spans="9:16" x14ac:dyDescent="0.25">
      <c r="I95">
        <f t="shared" si="26"/>
        <v>5</v>
      </c>
      <c r="J95">
        <f t="shared" si="25"/>
        <v>5.5</v>
      </c>
      <c r="K95" s="18">
        <f t="shared" si="17"/>
        <v>-47.630799538767711</v>
      </c>
      <c r="L95" s="15">
        <f t="shared" si="18"/>
        <v>-17.526441857407296</v>
      </c>
      <c r="M95" s="18">
        <f t="shared" si="22"/>
        <v>-370.76426676342021</v>
      </c>
      <c r="N95" s="18">
        <f t="shared" si="19"/>
        <v>-344.05638479857447</v>
      </c>
      <c r="O95" s="18">
        <f t="shared" si="20"/>
        <v>-51.504629629629562</v>
      </c>
      <c r="P95" s="16">
        <f t="shared" si="21"/>
        <v>0</v>
      </c>
    </row>
    <row r="96" spans="9:16" x14ac:dyDescent="0.25">
      <c r="I96">
        <f t="shared" si="26"/>
        <v>6</v>
      </c>
      <c r="J96">
        <f t="shared" si="25"/>
        <v>5.5</v>
      </c>
      <c r="K96" s="18">
        <f t="shared" si="17"/>
        <v>-47.630799538767711</v>
      </c>
      <c r="L96" s="15">
        <f t="shared" si="18"/>
        <v>-17.526441857407296</v>
      </c>
      <c r="M96" s="18">
        <f t="shared" si="22"/>
        <v>-370.76426676342021</v>
      </c>
      <c r="N96" s="18">
        <f t="shared" si="19"/>
        <v>-344.05638479857447</v>
      </c>
      <c r="O96" s="18">
        <f t="shared" si="20"/>
        <v>-51.504629629629562</v>
      </c>
      <c r="P96" s="16">
        <f t="shared" si="21"/>
        <v>0</v>
      </c>
    </row>
    <row r="97" spans="9:16" x14ac:dyDescent="0.25">
      <c r="I97">
        <f t="shared" si="26"/>
        <v>7</v>
      </c>
      <c r="J97">
        <f t="shared" si="25"/>
        <v>5.5</v>
      </c>
      <c r="K97" s="18">
        <f t="shared" si="17"/>
        <v>-47.630799538767711</v>
      </c>
      <c r="L97" s="15">
        <f t="shared" si="18"/>
        <v>-17.526441857407296</v>
      </c>
      <c r="M97" s="18">
        <f t="shared" si="22"/>
        <v>-370.76426676342021</v>
      </c>
      <c r="N97" s="18">
        <f t="shared" si="19"/>
        <v>-344.05638479857447</v>
      </c>
      <c r="O97" s="18">
        <f t="shared" si="20"/>
        <v>-51.504629629629562</v>
      </c>
      <c r="P97" s="16">
        <f t="shared" si="21"/>
        <v>0</v>
      </c>
    </row>
    <row r="98" spans="9:16" x14ac:dyDescent="0.25">
      <c r="I98">
        <f t="shared" si="26"/>
        <v>8</v>
      </c>
      <c r="J98">
        <f t="shared" si="25"/>
        <v>5.5</v>
      </c>
      <c r="K98" s="18">
        <f t="shared" si="17"/>
        <v>-47.630799538767711</v>
      </c>
      <c r="L98" s="15">
        <f t="shared" si="18"/>
        <v>-17.526441857407296</v>
      </c>
      <c r="M98" s="18">
        <f t="shared" si="22"/>
        <v>-370.76426676342021</v>
      </c>
      <c r="N98" s="18">
        <f t="shared" si="19"/>
        <v>-344.05638479857447</v>
      </c>
      <c r="O98" s="18">
        <f t="shared" si="20"/>
        <v>-51.504629629629562</v>
      </c>
      <c r="P98" s="16">
        <f t="shared" si="21"/>
        <v>0</v>
      </c>
    </row>
    <row r="99" spans="9:16" x14ac:dyDescent="0.25">
      <c r="I99">
        <f t="shared" si="26"/>
        <v>9</v>
      </c>
      <c r="J99">
        <f t="shared" si="25"/>
        <v>5.5</v>
      </c>
      <c r="K99" s="18">
        <f t="shared" si="17"/>
        <v>-47.630799538767711</v>
      </c>
      <c r="L99" s="15">
        <f t="shared" si="18"/>
        <v>-17.526441857407296</v>
      </c>
      <c r="M99" s="18">
        <f t="shared" si="22"/>
        <v>-370.76426676342021</v>
      </c>
      <c r="N99" s="18">
        <f t="shared" si="19"/>
        <v>-344.05638479857447</v>
      </c>
      <c r="O99" s="18">
        <f t="shared" si="20"/>
        <v>-51.504629629629562</v>
      </c>
      <c r="P99" s="16">
        <f t="shared" si="21"/>
        <v>0</v>
      </c>
    </row>
    <row r="100" spans="9:16" x14ac:dyDescent="0.25">
      <c r="I100">
        <f t="shared" si="26"/>
        <v>9.5</v>
      </c>
      <c r="J100">
        <f t="shared" si="25"/>
        <v>5.5</v>
      </c>
      <c r="K100" s="18">
        <f t="shared" ref="K100:K131" si="27">Moment(J100,$B$4,$B$5,$B$15*1000,$B$10*1000,$F$6:$F$12,$G$6:$G$12)</f>
        <v>-47.630799538767711</v>
      </c>
      <c r="L100" s="15">
        <f t="shared" ref="L100:L116" si="28">Biegelinie(J100,$B$4,$B$5,$B$15*1000,$B$10*1000,$F$6:$F$12,$G$6:$G$12)*1000</f>
        <v>-17.526441857407296</v>
      </c>
      <c r="M100" s="18">
        <f t="shared" si="22"/>
        <v>-370.76426676342021</v>
      </c>
      <c r="N100" s="18">
        <f t="shared" ref="N100:N116" si="29">Querkraft(J100,$B$4,$B$5,$B$15*1000,$B$10*1000,$F$6:$F$12,$G$6:$G$12)/$B$5</f>
        <v>-344.05638479857447</v>
      </c>
      <c r="O100" s="18">
        <f t="shared" ref="O100:O116" si="30">Moment(J100,$B$4,$B$5,$B$15*1000,$B$10*1000,$F$6:$F$12,$G$6:$G$12,TRUE)</f>
        <v>-51.504629629629562</v>
      </c>
      <c r="P100" s="16">
        <f t="shared" ref="P100:P115" si="31">(M101+M100)/2*(J101-J100)*$B$5</f>
        <v>0</v>
      </c>
    </row>
    <row r="101" spans="9:16" x14ac:dyDescent="0.25">
      <c r="I101">
        <f t="shared" si="26"/>
        <v>9.99</v>
      </c>
      <c r="J101">
        <f t="shared" si="25"/>
        <v>5.5</v>
      </c>
      <c r="K101" s="18">
        <f t="shared" si="27"/>
        <v>-47.630799538767711</v>
      </c>
      <c r="L101" s="15">
        <f t="shared" si="28"/>
        <v>-17.526441857407296</v>
      </c>
      <c r="M101" s="18">
        <f t="shared" si="22"/>
        <v>-370.76426676342021</v>
      </c>
      <c r="N101" s="18">
        <f t="shared" si="29"/>
        <v>-344.05638479857447</v>
      </c>
      <c r="O101" s="18">
        <f t="shared" si="30"/>
        <v>-51.504629629629562</v>
      </c>
      <c r="P101" s="16">
        <f t="shared" si="31"/>
        <v>0</v>
      </c>
    </row>
    <row r="102" spans="9:16" x14ac:dyDescent="0.25">
      <c r="I102">
        <f t="shared" si="26"/>
        <v>10</v>
      </c>
      <c r="J102">
        <f t="shared" si="25"/>
        <v>5.5</v>
      </c>
      <c r="K102" s="18">
        <f t="shared" si="27"/>
        <v>-47.630799538767711</v>
      </c>
      <c r="L102" s="15">
        <f t="shared" si="28"/>
        <v>-17.526441857407296</v>
      </c>
      <c r="M102" s="18">
        <f t="shared" si="22"/>
        <v>-370.76426676342021</v>
      </c>
      <c r="N102" s="18">
        <f t="shared" si="29"/>
        <v>-344.05638479857447</v>
      </c>
      <c r="O102" s="18">
        <f t="shared" si="30"/>
        <v>-51.504629629629562</v>
      </c>
      <c r="P102" s="16">
        <f t="shared" si="31"/>
        <v>-0.27807974177980621</v>
      </c>
    </row>
    <row r="103" spans="9:16" x14ac:dyDescent="0.25">
      <c r="I103">
        <f>I89</f>
        <v>0.01</v>
      </c>
      <c r="J103">
        <f t="shared" ref="J103:J116" si="32">IF($F$12=0,$J$102+($B$4-$J$102)/10*I103,$J$102+($B$4-$J$102)/10*I103)</f>
        <v>5.5004999999999997</v>
      </c>
      <c r="K103" s="18">
        <f t="shared" si="27"/>
        <v>-47.536207410760689</v>
      </c>
      <c r="L103" s="15">
        <f t="shared" si="28"/>
        <v>-17.527266480954477</v>
      </c>
      <c r="M103" s="18">
        <f t="shared" si="22"/>
        <v>-370.781711316474</v>
      </c>
      <c r="N103" s="18">
        <f t="shared" si="29"/>
        <v>189.09156203985074</v>
      </c>
      <c r="O103" s="18">
        <f t="shared" si="30"/>
        <v>-51.402249421875148</v>
      </c>
      <c r="P103" s="16">
        <f t="shared" si="31"/>
        <v>-13.641731530932773</v>
      </c>
    </row>
    <row r="104" spans="9:16" x14ac:dyDescent="0.25">
      <c r="I104">
        <f t="shared" si="26"/>
        <v>0.5</v>
      </c>
      <c r="J104">
        <f t="shared" si="32"/>
        <v>5.5250000000000004</v>
      </c>
      <c r="K104" s="18">
        <f t="shared" si="27"/>
        <v>-43.014829944656412</v>
      </c>
      <c r="L104" s="15">
        <f t="shared" si="28"/>
        <v>-17.567150802982891</v>
      </c>
      <c r="M104" s="18">
        <f t="shared" si="22"/>
        <v>-371.62544682950806</v>
      </c>
      <c r="N104" s="18">
        <f t="shared" si="29"/>
        <v>179.99703090083858</v>
      </c>
      <c r="O104" s="18">
        <f t="shared" si="30"/>
        <v>-46.509042245370857</v>
      </c>
      <c r="P104" s="16">
        <f t="shared" si="31"/>
        <v>-13.951706256692255</v>
      </c>
    </row>
    <row r="105" spans="9:16" x14ac:dyDescent="0.25">
      <c r="I105">
        <f t="shared" si="26"/>
        <v>1</v>
      </c>
      <c r="J105">
        <f t="shared" si="32"/>
        <v>5.55</v>
      </c>
      <c r="K105" s="18">
        <f t="shared" si="27"/>
        <v>-38.631125157538584</v>
      </c>
      <c r="L105" s="15">
        <f t="shared" si="28"/>
        <v>-17.606863586859408</v>
      </c>
      <c r="M105" s="18">
        <f t="shared" si="22"/>
        <v>-372.46555352742797</v>
      </c>
      <c r="N105" s="18">
        <f t="shared" si="29"/>
        <v>170.69585177309114</v>
      </c>
      <c r="O105" s="18">
        <f t="shared" si="30"/>
        <v>-41.765624999999488</v>
      </c>
      <c r="P105" s="16">
        <f t="shared" si="31"/>
        <v>-27.99587148280127</v>
      </c>
    </row>
    <row r="106" spans="9:16" x14ac:dyDescent="0.25">
      <c r="I106">
        <f t="shared" si="26"/>
        <v>2</v>
      </c>
      <c r="J106">
        <f t="shared" si="32"/>
        <v>5.6</v>
      </c>
      <c r="K106" s="18">
        <f t="shared" si="27"/>
        <v>-30.562598883097014</v>
      </c>
      <c r="L106" s="15">
        <f t="shared" si="28"/>
        <v>-17.683701175420591</v>
      </c>
      <c r="M106" s="18">
        <f t="shared" si="22"/>
        <v>-374.09101934727522</v>
      </c>
      <c r="N106" s="18">
        <f t="shared" si="29"/>
        <v>152.03165585113825</v>
      </c>
      <c r="O106" s="18">
        <f t="shared" si="30"/>
        <v>-33.037037037037294</v>
      </c>
      <c r="P106" s="16">
        <f t="shared" si="31"/>
        <v>-28.115530769313317</v>
      </c>
    </row>
    <row r="107" spans="9:16" x14ac:dyDescent="0.25">
      <c r="I107">
        <f t="shared" si="26"/>
        <v>3</v>
      </c>
      <c r="J107">
        <f t="shared" si="32"/>
        <v>5.65</v>
      </c>
      <c r="K107" s="18">
        <f t="shared" si="27"/>
        <v>-23.429287672494539</v>
      </c>
      <c r="L107" s="15">
        <f t="shared" si="28"/>
        <v>-17.757701677491383</v>
      </c>
      <c r="M107" s="18">
        <f t="shared" si="22"/>
        <v>-375.65646783440252</v>
      </c>
      <c r="N107" s="18">
        <f t="shared" si="29"/>
        <v>133.28774910953726</v>
      </c>
      <c r="O107" s="18">
        <f t="shared" si="30"/>
        <v>-25.322337962962706</v>
      </c>
      <c r="P107" s="16">
        <f t="shared" si="31"/>
        <v>-28.231212697536236</v>
      </c>
    </row>
    <row r="108" spans="9:16" x14ac:dyDescent="0.25">
      <c r="I108">
        <f t="shared" si="26"/>
        <v>4</v>
      </c>
      <c r="J108">
        <f t="shared" si="32"/>
        <v>5.7</v>
      </c>
      <c r="K108" s="18">
        <f t="shared" si="27"/>
        <v>-17.235108057816038</v>
      </c>
      <c r="L108" s="15">
        <f t="shared" si="28"/>
        <v>-17.829525554643869</v>
      </c>
      <c r="M108" s="18">
        <f t="shared" si="22"/>
        <v>-377.17587076656656</v>
      </c>
      <c r="N108" s="18">
        <f t="shared" si="29"/>
        <v>114.4667754716484</v>
      </c>
      <c r="O108" s="18">
        <f t="shared" si="30"/>
        <v>-18.625000000000512</v>
      </c>
      <c r="P108" s="16">
        <f t="shared" si="31"/>
        <v>-28.343896169143928</v>
      </c>
    </row>
    <row r="109" spans="9:16" x14ac:dyDescent="0.25">
      <c r="I109">
        <f t="shared" si="26"/>
        <v>5</v>
      </c>
      <c r="J109">
        <f t="shared" si="32"/>
        <v>5.75</v>
      </c>
      <c r="K109" s="18">
        <f t="shared" si="27"/>
        <v>-11.983861074025086</v>
      </c>
      <c r="L109" s="15">
        <f t="shared" si="28"/>
        <v>-17.899746312710285</v>
      </c>
      <c r="M109" s="18">
        <f t="shared" si="22"/>
        <v>-378.66136041060759</v>
      </c>
      <c r="N109" s="18">
        <f t="shared" si="29"/>
        <v>95.570726228248972</v>
      </c>
      <c r="O109" s="18">
        <f t="shared" si="30"/>
        <v>-12.948495370370438</v>
      </c>
      <c r="P109" s="16">
        <f t="shared" si="31"/>
        <v>-28.454421843105116</v>
      </c>
    </row>
    <row r="110" spans="9:16" x14ac:dyDescent="0.25">
      <c r="I110">
        <f t="shared" si="26"/>
        <v>6</v>
      </c>
      <c r="J110">
        <f t="shared" si="32"/>
        <v>5.8</v>
      </c>
      <c r="K110" s="18">
        <f t="shared" si="27"/>
        <v>-7.679262588079367</v>
      </c>
      <c r="L110" s="15">
        <f t="shared" si="28"/>
        <v>-17.968850149601312</v>
      </c>
      <c r="M110" s="18">
        <f t="shared" si="22"/>
        <v>-380.12322207219825</v>
      </c>
      <c r="N110" s="18">
        <f t="shared" si="29"/>
        <v>76.601032200152119</v>
      </c>
      <c r="O110" s="18">
        <f t="shared" si="30"/>
        <v>-8.2962962962963243</v>
      </c>
      <c r="P110" s="16">
        <f t="shared" si="31"/>
        <v>-28.56349158320117</v>
      </c>
    </row>
    <row r="111" spans="9:16" x14ac:dyDescent="0.25">
      <c r="I111">
        <f t="shared" si="26"/>
        <v>7</v>
      </c>
      <c r="J111">
        <f t="shared" si="32"/>
        <v>5.85</v>
      </c>
      <c r="K111" s="18">
        <f t="shared" si="27"/>
        <v>-4.324969010678875</v>
      </c>
      <c r="L111" s="15">
        <f t="shared" si="28"/>
        <v>-18.037235611045919</v>
      </c>
      <c r="M111" s="18">
        <f t="shared" si="22"/>
        <v>-381.56988681316909</v>
      </c>
      <c r="N111" s="18">
        <f t="shared" si="29"/>
        <v>57.558656268918376</v>
      </c>
      <c r="O111" s="18">
        <f t="shared" si="30"/>
        <v>-4.6718750000001892</v>
      </c>
      <c r="P111" s="16">
        <f t="shared" si="31"/>
        <v>-28.67166791622121</v>
      </c>
    </row>
    <row r="112" spans="9:16" x14ac:dyDescent="0.25">
      <c r="I112">
        <f t="shared" si="26"/>
        <v>8</v>
      </c>
      <c r="J112">
        <f t="shared" si="32"/>
        <v>5.9</v>
      </c>
      <c r="K112" s="18">
        <f t="shared" si="27"/>
        <v>-1.9245983724272173</v>
      </c>
      <c r="L112" s="15">
        <f t="shared" si="28"/>
        <v>-18.105213251872193</v>
      </c>
      <c r="M112" s="18">
        <f t="shared" si="22"/>
        <v>-383.00792428605234</v>
      </c>
      <c r="N112" s="18">
        <f t="shared" si="29"/>
        <v>38.444186268578761</v>
      </c>
      <c r="O112" s="18">
        <f t="shared" si="30"/>
        <v>-2.0787037037035816</v>
      </c>
      <c r="P112" s="16">
        <f t="shared" si="31"/>
        <v>-28.779373497397874</v>
      </c>
    </row>
    <row r="113" spans="9:16" x14ac:dyDescent="0.25">
      <c r="I113">
        <f t="shared" si="26"/>
        <v>9</v>
      </c>
      <c r="J113">
        <f t="shared" si="32"/>
        <v>5.95</v>
      </c>
      <c r="K113" s="18">
        <f t="shared" si="27"/>
        <v>-0.48174674648731802</v>
      </c>
      <c r="L113" s="15">
        <f t="shared" si="28"/>
        <v>-18.173005300877762</v>
      </c>
      <c r="M113" s="18">
        <f t="shared" si="22"/>
        <v>-384.44203564456046</v>
      </c>
      <c r="N113" s="18">
        <f t="shared" si="29"/>
        <v>19.257928233582042</v>
      </c>
      <c r="O113" s="18">
        <f t="shared" si="30"/>
        <v>-0.52025462962948643</v>
      </c>
      <c r="P113" s="16">
        <f t="shared" si="31"/>
        <v>-14.43001145876144</v>
      </c>
    </row>
    <row r="114" spans="9:16" x14ac:dyDescent="0.25">
      <c r="I114">
        <f t="shared" si="26"/>
        <v>9.5</v>
      </c>
      <c r="J114">
        <f t="shared" si="32"/>
        <v>5.9749999999999996</v>
      </c>
      <c r="K114" s="18">
        <f t="shared" si="27"/>
        <v>-0.12051132004082112</v>
      </c>
      <c r="L114" s="15">
        <f t="shared" si="28"/>
        <v>-18.206876941310412</v>
      </c>
      <c r="M114" s="18">
        <f t="shared" si="22"/>
        <v>-385.15857548939942</v>
      </c>
      <c r="N114" s="18">
        <f t="shared" si="29"/>
        <v>9.6379203117358081</v>
      </c>
      <c r="O114" s="18">
        <f t="shared" si="30"/>
        <v>-0.13013599537062723</v>
      </c>
      <c r="P114" s="16">
        <f t="shared" si="31"/>
        <v>-14.167479502727975</v>
      </c>
    </row>
    <row r="115" spans="9:16" x14ac:dyDescent="0.25">
      <c r="I115">
        <f t="shared" si="26"/>
        <v>9.99</v>
      </c>
      <c r="J115">
        <f t="shared" si="32"/>
        <v>5.9995000000000003</v>
      </c>
      <c r="K115" s="18">
        <f t="shared" si="27"/>
        <v>-4.8233780717959821E-5</v>
      </c>
      <c r="L115" s="15">
        <f t="shared" si="28"/>
        <v>-18.240067964690695</v>
      </c>
      <c r="M115" s="18">
        <f t="shared" si="22"/>
        <v>-385.86071717604858</v>
      </c>
      <c r="N115" s="18">
        <f t="shared" si="29"/>
        <v>0.19293394092271857</v>
      </c>
      <c r="O115" s="18">
        <f t="shared" si="30"/>
        <v>-5.2082754412670816E-5</v>
      </c>
      <c r="P115" s="16">
        <f t="shared" si="31"/>
        <v>-0.28940091137754725</v>
      </c>
    </row>
    <row r="116" spans="9:16" x14ac:dyDescent="0.25">
      <c r="I116">
        <f t="shared" si="26"/>
        <v>10</v>
      </c>
      <c r="J116">
        <f t="shared" si="32"/>
        <v>6</v>
      </c>
      <c r="K116" s="18">
        <f t="shared" si="27"/>
        <v>3.0580037315884086E-12</v>
      </c>
      <c r="L116" s="15">
        <f t="shared" si="28"/>
        <v>-18.240745327769393</v>
      </c>
      <c r="M116" s="18">
        <f t="shared" si="22"/>
        <v>-385.87504649783841</v>
      </c>
      <c r="N116" s="18">
        <f t="shared" si="29"/>
        <v>4.3708214688040361E-12</v>
      </c>
      <c r="O116" s="18">
        <f t="shared" si="30"/>
        <v>0</v>
      </c>
    </row>
    <row r="761" spans="9:16" x14ac:dyDescent="0.25">
      <c r="I761" t="s">
        <v>45</v>
      </c>
      <c r="J761" t="s">
        <v>45</v>
      </c>
      <c r="K761" t="s">
        <v>45</v>
      </c>
      <c r="L761" t="s">
        <v>45</v>
      </c>
      <c r="M761" t="s">
        <v>45</v>
      </c>
      <c r="N761" t="s">
        <v>45</v>
      </c>
      <c r="O761" t="s">
        <v>45</v>
      </c>
      <c r="P761" t="s">
        <v>45</v>
      </c>
    </row>
  </sheetData>
  <sortState ref="F6:G12">
    <sortCondition ref="F6"/>
  </sortState>
  <pageMargins left="0.7" right="0.7" top="0.95833333333333337" bottom="0.78740157499999996" header="0.3" footer="0.3"/>
  <pageSetup paperSize="9" orientation="portrait" r:id="rId1"/>
  <headerFooter>
    <oddHeader>&amp;L[Auftraggeber]
[Projekt]
Projektnummer: [115123123]&amp;RInnere Tragsicherheit
Fundament XXX
Beilage 1</oddHeader>
    <oddFooter>&amp;L[Kürzel]&amp;CPöry Schweiz AG&amp;RSeite 1/1</oddFooter>
  </headerFooter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U761"/>
  <sheetViews>
    <sheetView workbookViewId="0">
      <selection activeCell="I15" sqref="I15"/>
    </sheetView>
  </sheetViews>
  <sheetFormatPr baseColWidth="10" defaultRowHeight="15" x14ac:dyDescent="0.25"/>
  <cols>
    <col min="1" max="1" width="20.28515625" customWidth="1"/>
    <col min="2" max="2" width="14" bestFit="1" customWidth="1"/>
    <col min="4" max="4" width="12" bestFit="1" customWidth="1"/>
    <col min="6" max="6" width="12.7109375" bestFit="1" customWidth="1"/>
  </cols>
  <sheetData>
    <row r="1" spans="1:21" x14ac:dyDescent="0.25">
      <c r="A1" s="1" t="s">
        <v>55</v>
      </c>
      <c r="L1" s="1" t="s">
        <v>42</v>
      </c>
      <c r="U1" s="1"/>
    </row>
    <row r="2" spans="1:21" x14ac:dyDescent="0.25">
      <c r="L2" t="s">
        <v>43</v>
      </c>
      <c r="M2" t="s">
        <v>23</v>
      </c>
      <c r="N2" t="str">
        <f>G3</f>
        <v>LK 1</v>
      </c>
      <c r="O2" t="str">
        <f t="shared" ref="O2:R3" si="0">H3</f>
        <v>LK 2</v>
      </c>
      <c r="P2" t="str">
        <f t="shared" si="0"/>
        <v>LK 3</v>
      </c>
      <c r="Q2" t="str">
        <f t="shared" si="0"/>
        <v>LK 4</v>
      </c>
      <c r="R2" t="str">
        <f t="shared" si="0"/>
        <v>LK 5</v>
      </c>
    </row>
    <row r="3" spans="1:21" x14ac:dyDescent="0.25">
      <c r="A3" s="2" t="s">
        <v>0</v>
      </c>
      <c r="B3" s="3"/>
      <c r="C3" s="3"/>
      <c r="E3" s="4" t="s">
        <v>1</v>
      </c>
      <c r="F3" s="5"/>
      <c r="G3" s="5" t="s">
        <v>57</v>
      </c>
      <c r="H3" s="5" t="s">
        <v>58</v>
      </c>
      <c r="I3" s="5" t="s">
        <v>59</v>
      </c>
      <c r="J3" s="5" t="s">
        <v>60</v>
      </c>
      <c r="K3" s="5" t="s">
        <v>65</v>
      </c>
      <c r="M3" t="s">
        <v>44</v>
      </c>
      <c r="N3" t="str">
        <f>G4</f>
        <v>Ftot-Max</v>
      </c>
      <c r="O3" t="str">
        <f t="shared" si="0"/>
        <v>F1 Max</v>
      </c>
      <c r="P3" t="str">
        <f t="shared" si="0"/>
        <v>F2 Max</v>
      </c>
      <c r="Q3" t="str">
        <f t="shared" si="0"/>
        <v>F3 Max</v>
      </c>
      <c r="R3" t="str">
        <f t="shared" si="0"/>
        <v>F rnd</v>
      </c>
    </row>
    <row r="4" spans="1:21" x14ac:dyDescent="0.25">
      <c r="A4" t="s">
        <v>2</v>
      </c>
      <c r="B4" s="6">
        <v>10</v>
      </c>
      <c r="C4" t="s">
        <v>3</v>
      </c>
      <c r="E4" t="s">
        <v>4</v>
      </c>
      <c r="F4" t="s">
        <v>5</v>
      </c>
      <c r="G4" t="s">
        <v>66</v>
      </c>
      <c r="H4" t="s">
        <v>61</v>
      </c>
      <c r="I4" t="s">
        <v>62</v>
      </c>
      <c r="J4" t="s">
        <v>63</v>
      </c>
      <c r="K4" t="s">
        <v>64</v>
      </c>
      <c r="L4">
        <v>0</v>
      </c>
      <c r="M4">
        <f>($F$6-0)/10*L4</f>
        <v>0</v>
      </c>
      <c r="N4" s="18">
        <f>Moment($M4,$B$4,$B$5,$B$15*1000,$B$10*1000,$F$6:$F$8,G$6:G$8)</f>
        <v>2.1121000103381186E-14</v>
      </c>
      <c r="O4" s="18">
        <f t="shared" ref="O4:R4" si="1">Moment($M4,$B$4,$B$5,$B$15*1000,$B$10*1000,$F$6:$F$8,H$6:H$8)</f>
        <v>2.318545876010266E-14</v>
      </c>
      <c r="P4" s="18">
        <f t="shared" si="1"/>
        <v>2.5885135465046115E-14</v>
      </c>
      <c r="Q4" s="18">
        <f t="shared" si="1"/>
        <v>2.3900079064352397E-14</v>
      </c>
      <c r="R4" s="18">
        <f t="shared" si="1"/>
        <v>5.8757669460534127E-15</v>
      </c>
      <c r="S4" s="18"/>
      <c r="T4" s="18"/>
    </row>
    <row r="5" spans="1:21" x14ac:dyDescent="0.25">
      <c r="A5" t="s">
        <v>7</v>
      </c>
      <c r="B5" s="6">
        <v>1.2</v>
      </c>
      <c r="C5" t="s">
        <v>3</v>
      </c>
      <c r="F5" t="s">
        <v>3</v>
      </c>
      <c r="G5" t="s">
        <v>8</v>
      </c>
      <c r="L5">
        <v>0.01</v>
      </c>
      <c r="M5">
        <f t="shared" ref="M5:M18" si="2">($F$6-0)/10*L5</f>
        <v>1E-3</v>
      </c>
      <c r="N5" s="18">
        <f t="shared" ref="N5:N68" si="3">Moment($M5,$B$4,$B$5,$B$15*1000,$B$10*1000,$F$6:$F$8,G$6:G$8)</f>
        <v>-8.8363090742666617E-5</v>
      </c>
      <c r="O5" s="18">
        <f t="shared" ref="O5:O68" si="4">Moment($M5,$B$4,$B$5,$B$15*1000,$B$10*1000,$F$6:$F$8,H$6:H$8)</f>
        <v>-1.2068681027259936E-4</v>
      </c>
      <c r="P5" s="18">
        <f t="shared" ref="P5:P68" si="5">Moment($M5,$B$4,$B$5,$B$15*1000,$B$10*1000,$F$6:$F$8,I$6:I$8)</f>
        <v>-4.9331122118098917E-5</v>
      </c>
      <c r="Q5" s="18">
        <f t="shared" ref="Q5:Q68" si="6">Moment($M5,$B$4,$B$5,$B$15*1000,$B$10*1000,$F$6:$F$8,J$6:J$8)</f>
        <v>-2.6410901251279142E-5</v>
      </c>
      <c r="R5" s="18">
        <f t="shared" ref="R5:R68" si="7">Moment($M5,$B$4,$B$5,$B$15*1000,$B$10*1000,$F$6:$F$8,K$6:K$8)</f>
        <v>-9.2617012659013985E-5</v>
      </c>
      <c r="S5" s="16"/>
    </row>
    <row r="6" spans="1:21" x14ac:dyDescent="0.25">
      <c r="A6" t="s">
        <v>9</v>
      </c>
      <c r="B6" s="6">
        <v>0.5</v>
      </c>
      <c r="C6" t="s">
        <v>3</v>
      </c>
      <c r="D6" s="16"/>
      <c r="E6">
        <v>1</v>
      </c>
      <c r="F6" s="6">
        <v>1</v>
      </c>
      <c r="G6" s="19">
        <v>500</v>
      </c>
      <c r="H6" s="19">
        <v>650</v>
      </c>
      <c r="I6" s="19">
        <v>300</v>
      </c>
      <c r="J6" s="19">
        <v>200</v>
      </c>
      <c r="K6" s="19">
        <v>500</v>
      </c>
      <c r="L6">
        <v>0.5</v>
      </c>
      <c r="M6">
        <f t="shared" si="2"/>
        <v>0.05</v>
      </c>
      <c r="N6" s="18">
        <f t="shared" si="3"/>
        <v>-0.22036350732452192</v>
      </c>
      <c r="O6" s="18">
        <f t="shared" si="4"/>
        <v>-0.30094786990536398</v>
      </c>
      <c r="P6" s="18">
        <f t="shared" si="5"/>
        <v>-0.12324704998578395</v>
      </c>
      <c r="Q6" s="18">
        <f t="shared" si="6"/>
        <v>-6.607920035415249E-2</v>
      </c>
      <c r="R6" s="18">
        <f t="shared" si="7"/>
        <v>-0.23071472395020948</v>
      </c>
      <c r="S6" s="16"/>
    </row>
    <row r="7" spans="1:21" x14ac:dyDescent="0.25">
      <c r="A7" t="s">
        <v>10</v>
      </c>
      <c r="B7" s="7">
        <v>12000</v>
      </c>
      <c r="C7" t="s">
        <v>11</v>
      </c>
      <c r="D7" s="16"/>
      <c r="E7">
        <v>2</v>
      </c>
      <c r="F7" s="6">
        <v>5</v>
      </c>
      <c r="G7" s="19">
        <v>400</v>
      </c>
      <c r="H7" s="19">
        <v>450</v>
      </c>
      <c r="I7" s="19">
        <v>500</v>
      </c>
      <c r="J7" s="19">
        <v>450</v>
      </c>
      <c r="K7" s="19">
        <v>100</v>
      </c>
      <c r="L7">
        <v>1</v>
      </c>
      <c r="M7">
        <f t="shared" si="2"/>
        <v>0.1</v>
      </c>
      <c r="N7" s="18">
        <f t="shared" si="3"/>
        <v>-0.87923270940936626</v>
      </c>
      <c r="O7" s="18">
        <f t="shared" si="4"/>
        <v>-1.2006520468457258</v>
      </c>
      <c r="P7" s="18">
        <f t="shared" si="5"/>
        <v>-0.49265857770724814</v>
      </c>
      <c r="Q7" s="18">
        <f t="shared" si="6"/>
        <v>-0.26452882627926716</v>
      </c>
      <c r="R7" s="18">
        <f t="shared" si="7"/>
        <v>-0.91948007241517971</v>
      </c>
      <c r="S7" s="16"/>
    </row>
    <row r="8" spans="1:21" x14ac:dyDescent="0.25">
      <c r="D8" s="16"/>
      <c r="E8">
        <v>3</v>
      </c>
      <c r="F8" s="6">
        <v>9</v>
      </c>
      <c r="G8" s="19">
        <v>500</v>
      </c>
      <c r="H8" s="19">
        <v>200</v>
      </c>
      <c r="I8" s="19">
        <v>300</v>
      </c>
      <c r="J8" s="19">
        <v>650</v>
      </c>
      <c r="K8" s="19">
        <v>500</v>
      </c>
      <c r="L8">
        <v>2</v>
      </c>
      <c r="M8">
        <f t="shared" si="2"/>
        <v>0.2</v>
      </c>
      <c r="N8" s="18">
        <f t="shared" si="3"/>
        <v>-3.4991593111843451</v>
      </c>
      <c r="O8" s="18">
        <f t="shared" si="4"/>
        <v>-4.7774914041922196</v>
      </c>
      <c r="P8" s="18">
        <f t="shared" si="5"/>
        <v>-1.9679967910147211</v>
      </c>
      <c r="Q8" s="18">
        <f t="shared" si="6"/>
        <v>-1.0598112130784951</v>
      </c>
      <c r="R8" s="18">
        <f t="shared" si="7"/>
        <v>-3.6508886908334435</v>
      </c>
      <c r="S8" s="16"/>
    </row>
    <row r="9" spans="1:21" x14ac:dyDescent="0.25">
      <c r="A9" s="8" t="s">
        <v>12</v>
      </c>
      <c r="B9" s="8"/>
      <c r="C9" s="8"/>
      <c r="D9" s="16"/>
      <c r="L9">
        <v>3</v>
      </c>
      <c r="M9">
        <f t="shared" si="2"/>
        <v>0.30000000000000004</v>
      </c>
      <c r="N9" s="18">
        <f t="shared" si="3"/>
        <v>-7.8331142490134376</v>
      </c>
      <c r="O9" s="18">
        <f t="shared" si="4"/>
        <v>-10.692831609691435</v>
      </c>
      <c r="P9" s="18">
        <f t="shared" si="5"/>
        <v>-4.4220537188103783</v>
      </c>
      <c r="Q9" s="18">
        <f t="shared" si="6"/>
        <v>-2.3883885262026006</v>
      </c>
      <c r="R9" s="18">
        <f t="shared" si="7"/>
        <v>-8.1536698227799977</v>
      </c>
      <c r="S9" s="16"/>
    </row>
    <row r="10" spans="1:21" x14ac:dyDescent="0.25">
      <c r="A10" t="s">
        <v>13</v>
      </c>
      <c r="B10" s="17">
        <v>20</v>
      </c>
      <c r="C10" t="s">
        <v>11</v>
      </c>
      <c r="D10" s="16"/>
      <c r="G10" s="15">
        <f>SUM(G6:G8)</f>
        <v>1400</v>
      </c>
      <c r="H10" s="15">
        <f t="shared" ref="H10:K10" si="8">SUM(H6:H8)</f>
        <v>1300</v>
      </c>
      <c r="I10" s="15">
        <f t="shared" si="8"/>
        <v>1100</v>
      </c>
      <c r="J10" s="15">
        <f t="shared" si="8"/>
        <v>1300</v>
      </c>
      <c r="K10" s="15">
        <f t="shared" si="8"/>
        <v>1100</v>
      </c>
      <c r="L10">
        <v>4</v>
      </c>
      <c r="M10">
        <f t="shared" si="2"/>
        <v>0.4</v>
      </c>
      <c r="N10" s="18">
        <f t="shared" si="3"/>
        <v>-13.854403420002281</v>
      </c>
      <c r="O10" s="18">
        <f t="shared" si="4"/>
        <v>-18.908947227762216</v>
      </c>
      <c r="P10" s="18">
        <f t="shared" si="5"/>
        <v>-7.8508523663185104</v>
      </c>
      <c r="Q10" s="18">
        <f t="shared" si="6"/>
        <v>-4.2527934675869421</v>
      </c>
      <c r="R10" s="18">
        <f t="shared" si="7"/>
        <v>-14.387237672713276</v>
      </c>
      <c r="S10" s="16"/>
    </row>
    <row r="11" spans="1:21" x14ac:dyDescent="0.25">
      <c r="D11" s="16"/>
      <c r="L11">
        <v>5</v>
      </c>
      <c r="M11">
        <f t="shared" si="2"/>
        <v>0.5</v>
      </c>
      <c r="N11" s="18">
        <f t="shared" si="3"/>
        <v>-21.536271519949167</v>
      </c>
      <c r="O11" s="18">
        <f t="shared" si="4"/>
        <v>-29.388029281344213</v>
      </c>
      <c r="P11" s="18">
        <f t="shared" si="5"/>
        <v>-12.250381160699895</v>
      </c>
      <c r="Q11" s="18">
        <f t="shared" si="6"/>
        <v>-6.6555400514950955</v>
      </c>
      <c r="R11" s="18">
        <f t="shared" si="7"/>
        <v>-22.310942771414098</v>
      </c>
      <c r="S11" s="16"/>
    </row>
    <row r="12" spans="1:21" x14ac:dyDescent="0.25">
      <c r="A12" t="s">
        <v>14</v>
      </c>
      <c r="D12" s="16"/>
      <c r="L12">
        <v>6</v>
      </c>
      <c r="M12">
        <f t="shared" si="2"/>
        <v>0.60000000000000009</v>
      </c>
      <c r="N12" s="18">
        <f t="shared" si="3"/>
        <v>-30.851856662203872</v>
      </c>
      <c r="O12" s="18">
        <f t="shared" si="4"/>
        <v>-42.092123330464723</v>
      </c>
      <c r="P12" s="18">
        <f t="shared" si="5"/>
        <v>-17.616568094836037</v>
      </c>
      <c r="Q12" s="18">
        <f t="shared" si="6"/>
        <v>-9.5991095393319306</v>
      </c>
      <c r="R12" s="18">
        <f t="shared" si="7"/>
        <v>-31.884025011226505</v>
      </c>
      <c r="S12" s="16"/>
    </row>
    <row r="13" spans="1:21" x14ac:dyDescent="0.25">
      <c r="A13" t="s">
        <v>39</v>
      </c>
      <c r="B13" s="9">
        <f>B10/(1.8*B5)</f>
        <v>9.2592592592592595</v>
      </c>
      <c r="C13" t="s">
        <v>15</v>
      </c>
      <c r="D13" t="s">
        <v>16</v>
      </c>
      <c r="L13">
        <v>7</v>
      </c>
      <c r="M13">
        <f t="shared" si="2"/>
        <v>0.70000000000000007</v>
      </c>
      <c r="N13" s="18">
        <f t="shared" si="3"/>
        <v>-41.774132471963817</v>
      </c>
      <c r="O13" s="18">
        <f t="shared" si="4"/>
        <v>-56.983050482863732</v>
      </c>
      <c r="P13" s="18">
        <f t="shared" si="5"/>
        <v>-23.945247549585751</v>
      </c>
      <c r="Q13" s="18">
        <f t="shared" si="6"/>
        <v>-13.085932314127216</v>
      </c>
      <c r="R13" s="18">
        <f t="shared" si="7"/>
        <v>-43.065553933801361</v>
      </c>
      <c r="S13" s="16"/>
    </row>
    <row r="14" spans="1:21" x14ac:dyDescent="0.25">
      <c r="A14" t="s">
        <v>17</v>
      </c>
      <c r="B14" s="10">
        <f>1/12*B5*B6^3</f>
        <v>1.2499999999999999E-2</v>
      </c>
      <c r="C14" t="s">
        <v>18</v>
      </c>
      <c r="D14" t="s">
        <v>16</v>
      </c>
      <c r="L14">
        <v>8</v>
      </c>
      <c r="M14">
        <f t="shared" si="2"/>
        <v>0.8</v>
      </c>
      <c r="N14" s="18">
        <f t="shared" si="3"/>
        <v>-54.275837858683033</v>
      </c>
      <c r="O14" s="18">
        <f t="shared" si="4"/>
        <v>-74.022311623043606</v>
      </c>
      <c r="P14" s="18">
        <f t="shared" si="5"/>
        <v>-31.232119825268637</v>
      </c>
      <c r="Q14" s="18">
        <f t="shared" si="6"/>
        <v>-17.118365675998088</v>
      </c>
      <c r="R14" s="18">
        <f t="shared" si="7"/>
        <v>-55.814356577845921</v>
      </c>
      <c r="S14" s="16"/>
    </row>
    <row r="15" spans="1:21" x14ac:dyDescent="0.25">
      <c r="A15" t="s">
        <v>19</v>
      </c>
      <c r="B15" s="11">
        <f>B14*B7</f>
        <v>150</v>
      </c>
      <c r="C15" t="s">
        <v>20</v>
      </c>
      <c r="D15" t="s">
        <v>56</v>
      </c>
      <c r="L15">
        <v>9</v>
      </c>
      <c r="M15">
        <f t="shared" si="2"/>
        <v>0.9</v>
      </c>
      <c r="N15" s="18">
        <f t="shared" si="3"/>
        <v>-68.329394670525673</v>
      </c>
      <c r="O15" s="18">
        <f t="shared" si="4"/>
        <v>-93.170975147823341</v>
      </c>
      <c r="P15" s="18">
        <f t="shared" si="5"/>
        <v>-39.472703413845515</v>
      </c>
      <c r="Q15" s="18">
        <f t="shared" si="6"/>
        <v>-21.698667540288113</v>
      </c>
      <c r="R15" s="18">
        <f t="shared" si="7"/>
        <v>-70.088933195683225</v>
      </c>
      <c r="S15" s="16"/>
    </row>
    <row r="16" spans="1:21" x14ac:dyDescent="0.25">
      <c r="B16" s="12"/>
      <c r="L16">
        <v>9.5</v>
      </c>
      <c r="M16">
        <f t="shared" si="2"/>
        <v>0.95000000000000007</v>
      </c>
      <c r="N16" s="18">
        <f t="shared" si="3"/>
        <v>-75.929389536670101</v>
      </c>
      <c r="O16" s="18">
        <f t="shared" si="4"/>
        <v>-103.52401713262795</v>
      </c>
      <c r="P16" s="18">
        <f t="shared" si="5"/>
        <v>-43.949173389657346</v>
      </c>
      <c r="Q16" s="18">
        <f t="shared" si="6"/>
        <v>-24.194940183111893</v>
      </c>
      <c r="R16" s="18">
        <f t="shared" si="7"/>
        <v>-77.785305304760158</v>
      </c>
      <c r="S16" s="16"/>
    </row>
    <row r="17" spans="1:19" x14ac:dyDescent="0.25">
      <c r="B17" s="12"/>
      <c r="L17">
        <v>9.99</v>
      </c>
      <c r="M17">
        <f t="shared" si="2"/>
        <v>0.99900000000000011</v>
      </c>
      <c r="N17" s="18">
        <f t="shared" si="3"/>
        <v>-83.743589248951182</v>
      </c>
      <c r="O17" s="18">
        <f t="shared" si="4"/>
        <v>-114.16724803999676</v>
      </c>
      <c r="P17" s="18">
        <f t="shared" si="5"/>
        <v>-48.565702955341131</v>
      </c>
      <c r="Q17" s="18">
        <f t="shared" si="6"/>
        <v>-26.774933949810627</v>
      </c>
      <c r="R17" s="18">
        <f t="shared" si="7"/>
        <v>-85.682570703600675</v>
      </c>
      <c r="S17" s="16"/>
    </row>
    <row r="18" spans="1:19" x14ac:dyDescent="0.25">
      <c r="A18" s="20"/>
      <c r="B18" s="21"/>
      <c r="C18" s="20"/>
      <c r="D18" s="20"/>
      <c r="L18">
        <v>10</v>
      </c>
      <c r="M18">
        <f t="shared" si="2"/>
        <v>1</v>
      </c>
      <c r="N18" s="18">
        <f t="shared" si="3"/>
        <v>-83.906813436579</v>
      </c>
      <c r="O18" s="18">
        <f t="shared" si="4"/>
        <v>-114.3895484989114</v>
      </c>
      <c r="P18" s="18">
        <f t="shared" si="5"/>
        <v>-48.662280044284408</v>
      </c>
      <c r="Q18" s="18">
        <f t="shared" si="6"/>
        <v>-26.82896602063499</v>
      </c>
      <c r="R18" s="18">
        <f t="shared" si="7"/>
        <v>-85.847361149267059</v>
      </c>
      <c r="S18" s="16"/>
    </row>
    <row r="19" spans="1:19" x14ac:dyDescent="0.25">
      <c r="A19" s="13" t="s">
        <v>22</v>
      </c>
      <c r="B19" s="14"/>
      <c r="C19" s="13"/>
      <c r="L19">
        <f>L5</f>
        <v>0.01</v>
      </c>
      <c r="M19">
        <f t="shared" ref="M19:M32" si="9">IF($F$7=0,M18,$M$18+($F$7-$M$18)/10*L19)</f>
        <v>1.004</v>
      </c>
      <c r="N19" s="18">
        <f t="shared" si="3"/>
        <v>-82.89453864039325</v>
      </c>
      <c r="O19" s="18">
        <f t="shared" si="4"/>
        <v>-113.11411304579968</v>
      </c>
      <c r="P19" s="18">
        <f t="shared" si="5"/>
        <v>-48.049532354652726</v>
      </c>
      <c r="Q19" s="18">
        <f t="shared" si="6"/>
        <v>-26.378979633221515</v>
      </c>
      <c r="R19" s="18">
        <f t="shared" si="7"/>
        <v>-84.841297289912376</v>
      </c>
      <c r="S19" s="16"/>
    </row>
    <row r="20" spans="1:19" x14ac:dyDescent="0.25">
      <c r="B20" t="s">
        <v>23</v>
      </c>
      <c r="C20" t="str">
        <f>G3</f>
        <v>LK 1</v>
      </c>
      <c r="D20" t="str">
        <f t="shared" ref="D20:G20" si="10">H3</f>
        <v>LK 2</v>
      </c>
      <c r="E20" t="str">
        <f t="shared" si="10"/>
        <v>LK 3</v>
      </c>
      <c r="F20" t="str">
        <f t="shared" si="10"/>
        <v>LK 4</v>
      </c>
      <c r="G20" t="str">
        <f t="shared" si="10"/>
        <v>LK 5</v>
      </c>
      <c r="L20">
        <f t="shared" ref="L20:L83" si="11">L6</f>
        <v>0.5</v>
      </c>
      <c r="M20">
        <f t="shared" si="9"/>
        <v>1.2</v>
      </c>
      <c r="N20" s="18">
        <f t="shared" si="3"/>
        <v>-36.185325558733162</v>
      </c>
      <c r="O20" s="18">
        <f t="shared" si="4"/>
        <v>-54.541543412473487</v>
      </c>
      <c r="P20" s="18">
        <f t="shared" si="5"/>
        <v>-19.868025771362316</v>
      </c>
      <c r="Q20" s="18">
        <f t="shared" si="6"/>
        <v>-5.4139050217841751</v>
      </c>
      <c r="R20" s="18">
        <f t="shared" si="7"/>
        <v>-38.312059670899608</v>
      </c>
      <c r="S20" s="16"/>
    </row>
    <row r="21" spans="1:19" x14ac:dyDescent="0.25">
      <c r="B21" t="s">
        <v>3</v>
      </c>
      <c r="C21" t="s">
        <v>27</v>
      </c>
      <c r="D21" t="s">
        <v>27</v>
      </c>
      <c r="E21" t="s">
        <v>27</v>
      </c>
      <c r="F21" t="s">
        <v>27</v>
      </c>
      <c r="G21" t="s">
        <v>27</v>
      </c>
      <c r="L21">
        <f t="shared" si="11"/>
        <v>1</v>
      </c>
      <c r="M21">
        <f t="shared" si="9"/>
        <v>1.4</v>
      </c>
      <c r="N21" s="18">
        <f t="shared" si="3"/>
        <v>5.7893164218980067</v>
      </c>
      <c r="O21" s="18">
        <f t="shared" si="4"/>
        <v>-2.4817553843088525</v>
      </c>
      <c r="P21" s="18">
        <f t="shared" si="5"/>
        <v>5.1942064653027122</v>
      </c>
      <c r="Q21" s="18">
        <f t="shared" si="6"/>
        <v>13.779499665674159</v>
      </c>
      <c r="R21" s="18">
        <f t="shared" si="7"/>
        <v>3.8039895617088826</v>
      </c>
      <c r="S21" s="16"/>
    </row>
    <row r="22" spans="1:19" x14ac:dyDescent="0.25">
      <c r="A22" t="s">
        <v>46</v>
      </c>
      <c r="B22">
        <f>B4/2</f>
        <v>5</v>
      </c>
      <c r="C22" s="12">
        <f>Moment($B22,$B$4,$B$5,$B$15*1000,$B$10*1000,$F$6:$F$8,G$6:G$8)</f>
        <v>1.9416258917765343</v>
      </c>
      <c r="D22" s="12">
        <f t="shared" ref="D22:G22" si="12">Moment($B22,$B$4,$B$5,$B$15*1000,$B$10*1000,$F$6:$F$8,H$6:H$8)</f>
        <v>-64.580613949045102</v>
      </c>
      <c r="E22" s="12">
        <f t="shared" si="12"/>
        <v>-155.38101490888349</v>
      </c>
      <c r="F22" s="12">
        <f t="shared" si="12"/>
        <v>-64.580613949045812</v>
      </c>
      <c r="G22" s="12">
        <f t="shared" si="12"/>
        <v>182.57161486556433</v>
      </c>
      <c r="H22" s="12"/>
      <c r="I22" s="12"/>
      <c r="L22">
        <f t="shared" si="11"/>
        <v>2</v>
      </c>
      <c r="M22">
        <f t="shared" si="9"/>
        <v>1.8</v>
      </c>
      <c r="N22" s="18">
        <f t="shared" si="3"/>
        <v>73.451164965504304</v>
      </c>
      <c r="O22" s="18">
        <f t="shared" si="4"/>
        <v>79.619634747877328</v>
      </c>
      <c r="P22" s="18">
        <f t="shared" si="5"/>
        <v>44.305995673029585</v>
      </c>
      <c r="Q22" s="18">
        <f t="shared" si="6"/>
        <v>45.446442895864365</v>
      </c>
      <c r="R22" s="18">
        <f t="shared" si="7"/>
        <v>73.179668780434667</v>
      </c>
      <c r="S22" s="16"/>
    </row>
    <row r="23" spans="1:19" x14ac:dyDescent="0.25">
      <c r="A23" t="s">
        <v>47</v>
      </c>
      <c r="B23" s="6">
        <v>6</v>
      </c>
      <c r="C23" s="12">
        <f>Moment($B23,$B$4,$B$5,$B$15*1000,$B$10*1000,$F$6:$F$8,G$6:G$8)</f>
        <v>125.95895721276842</v>
      </c>
      <c r="D23" s="12">
        <f t="shared" ref="D23:G23" si="13">Moment($B23,$B$4,$B$5,$B$15*1000,$B$10*1000,$F$6:$F$8,H$6:H$8)</f>
        <v>48.088254383055165</v>
      </c>
      <c r="E23" s="12">
        <f t="shared" si="13"/>
        <v>5.9805486465725606</v>
      </c>
      <c r="F23" s="12">
        <f t="shared" si="13"/>
        <v>107.15404345619169</v>
      </c>
      <c r="G23" s="12">
        <f t="shared" si="13"/>
        <v>206.26067915248595</v>
      </c>
      <c r="H23" s="12"/>
      <c r="I23" s="12"/>
      <c r="L23">
        <f t="shared" si="11"/>
        <v>3</v>
      </c>
      <c r="M23">
        <f t="shared" si="9"/>
        <v>2.2000000000000002</v>
      </c>
      <c r="N23" s="18">
        <f t="shared" si="3"/>
        <v>120.95326166838774</v>
      </c>
      <c r="O23" s="18">
        <f t="shared" si="4"/>
        <v>134.58056486967519</v>
      </c>
      <c r="P23" s="18">
        <f t="shared" si="5"/>
        <v>69.019298492175835</v>
      </c>
      <c r="Q23" s="18">
        <f t="shared" si="6"/>
        <v>68.033884305243603</v>
      </c>
      <c r="R23" s="18">
        <f t="shared" si="7"/>
        <v>125.05248302476097</v>
      </c>
      <c r="S23" s="16"/>
    </row>
    <row r="24" spans="1:19" x14ac:dyDescent="0.25">
      <c r="A24" t="s">
        <v>49</v>
      </c>
      <c r="B24" s="12"/>
      <c r="C24" s="12">
        <f>Max_Moment($B$4,$B$5,$B$15*1000,$B$10*1000,$F$6:$F$8,G$6:G$8)</f>
        <v>162.75901580339345</v>
      </c>
      <c r="D24" s="12">
        <f t="shared" ref="D24:G24" si="14">Max_Moment($B$4,$B$5,$B$15*1000,$B$10*1000,$F$6:$F$8,H$6:H$8)</f>
        <v>172.91288599487555</v>
      </c>
      <c r="E24" s="12">
        <f t="shared" si="14"/>
        <v>80.055367167929163</v>
      </c>
      <c r="F24" s="12">
        <f>Max_Moment($B$4,$B$5,$B$15*1000,$B$10*1000,$F$6:$F$8,J$6:J$8)</f>
        <v>172.91288599487581</v>
      </c>
      <c r="G24" s="22">
        <f t="shared" si="14"/>
        <v>206.49783791447709</v>
      </c>
      <c r="L24">
        <f t="shared" si="11"/>
        <v>4</v>
      </c>
      <c r="M24">
        <f t="shared" si="9"/>
        <v>2.6</v>
      </c>
      <c r="N24" s="18">
        <f t="shared" si="3"/>
        <v>150.03480029099637</v>
      </c>
      <c r="O24" s="18">
        <f t="shared" si="4"/>
        <v>164.92197828505414</v>
      </c>
      <c r="P24" s="18">
        <f t="shared" si="5"/>
        <v>79.599411089740315</v>
      </c>
      <c r="Q24" s="18">
        <f t="shared" si="6"/>
        <v>81.319016060914137</v>
      </c>
      <c r="R24" s="18">
        <f t="shared" si="7"/>
        <v>162.05957231198582</v>
      </c>
      <c r="S24" s="16"/>
    </row>
    <row r="25" spans="1:19" x14ac:dyDescent="0.25">
      <c r="A25" t="s">
        <v>50</v>
      </c>
      <c r="B25" s="12"/>
      <c r="C25" s="12">
        <f>Min_Moment($B$4,$B$5,$B$15*1000,$B$10*1000,$F$6:$F$8,G$6:G$8)</f>
        <v>-83.906813436580123</v>
      </c>
      <c r="D25" s="12">
        <f t="shared" ref="D25:G25" si="15">Min_Moment($B$4,$B$5,$B$15*1000,$B$10*1000,$F$6:$F$8,H$6:H$8)</f>
        <v>-114.3895484989114</v>
      </c>
      <c r="E25" s="22">
        <f t="shared" si="15"/>
        <v>-155.38101490888349</v>
      </c>
      <c r="F25" s="12">
        <f t="shared" si="15"/>
        <v>-114.38954849891147</v>
      </c>
      <c r="G25" s="12">
        <f t="shared" si="15"/>
        <v>-85.847361149268593</v>
      </c>
      <c r="L25">
        <f t="shared" si="11"/>
        <v>5</v>
      </c>
      <c r="M25">
        <f t="shared" si="9"/>
        <v>3</v>
      </c>
      <c r="N25" s="18">
        <f t="shared" si="3"/>
        <v>162.20735971508873</v>
      </c>
      <c r="O25" s="18">
        <f t="shared" si="4"/>
        <v>172.91288599487555</v>
      </c>
      <c r="P25" s="18">
        <f t="shared" si="5"/>
        <v>76.182911802146265</v>
      </c>
      <c r="Q25" s="18">
        <f t="shared" si="6"/>
        <v>84.950660574931007</v>
      </c>
      <c r="R25" s="18">
        <f t="shared" si="7"/>
        <v>186.60140282305835</v>
      </c>
      <c r="S25" s="16"/>
    </row>
    <row r="26" spans="1:19" x14ac:dyDescent="0.25">
      <c r="L26">
        <f t="shared" si="11"/>
        <v>6</v>
      </c>
      <c r="M26">
        <f t="shared" si="9"/>
        <v>3.4000000000000004</v>
      </c>
      <c r="N26" s="18">
        <f t="shared" si="3"/>
        <v>158.69826538328388</v>
      </c>
      <c r="O26" s="18">
        <f t="shared" si="4"/>
        <v>160.51105175852143</v>
      </c>
      <c r="P26" s="18">
        <f t="shared" si="5"/>
        <v>58.757188560380747</v>
      </c>
      <c r="Q26" s="18">
        <f t="shared" si="6"/>
        <v>78.423731903408466</v>
      </c>
      <c r="R26" s="18">
        <f t="shared" si="7"/>
        <v>200.7695392328103</v>
      </c>
      <c r="S26" s="16"/>
    </row>
    <row r="27" spans="1:19" x14ac:dyDescent="0.25">
      <c r="L27">
        <f t="shared" si="11"/>
        <v>7</v>
      </c>
      <c r="M27">
        <f t="shared" si="9"/>
        <v>3.8000000000000003</v>
      </c>
      <c r="N27" s="18">
        <f t="shared" si="3"/>
        <v>140.42669093597939</v>
      </c>
      <c r="O27" s="18">
        <f t="shared" si="4"/>
        <v>129.34693281760246</v>
      </c>
      <c r="P27" s="18">
        <f t="shared" si="5"/>
        <v>27.167039700351619</v>
      </c>
      <c r="Q27" s="18">
        <f t="shared" si="6"/>
        <v>61.072386121747428</v>
      </c>
      <c r="R27" s="18">
        <f t="shared" si="7"/>
        <v>206.29858500663636</v>
      </c>
      <c r="S27" s="16"/>
    </row>
    <row r="28" spans="1:19" x14ac:dyDescent="0.25">
      <c r="L28">
        <f t="shared" si="11"/>
        <v>8</v>
      </c>
      <c r="M28">
        <f t="shared" si="9"/>
        <v>4.2</v>
      </c>
      <c r="N28" s="18">
        <f t="shared" si="3"/>
        <v>108.01013795351717</v>
      </c>
      <c r="O28" s="18">
        <f t="shared" si="4"/>
        <v>80.747101299259214</v>
      </c>
      <c r="P28" s="18">
        <f t="shared" si="5"/>
        <v>-18.851629613700318</v>
      </c>
      <c r="Q28" s="18">
        <f t="shared" si="6"/>
        <v>32.082838126034133</v>
      </c>
      <c r="R28" s="18">
        <f t="shared" si="7"/>
        <v>204.53826762945255</v>
      </c>
      <c r="S28" s="16"/>
    </row>
    <row r="29" spans="1:19" x14ac:dyDescent="0.25">
      <c r="L29">
        <f t="shared" si="11"/>
        <v>9</v>
      </c>
      <c r="M29">
        <f t="shared" si="9"/>
        <v>4.5999999999999996</v>
      </c>
      <c r="N29" s="18">
        <f t="shared" si="3"/>
        <v>61.79951693085566</v>
      </c>
      <c r="O29" s="18">
        <f t="shared" si="4"/>
        <v>15.793990591580371</v>
      </c>
      <c r="P29" s="18">
        <f t="shared" si="5"/>
        <v>-79.610726525170605</v>
      </c>
      <c r="Q29" s="18">
        <f t="shared" si="6"/>
        <v>-9.4728736183968465</v>
      </c>
      <c r="R29" s="18">
        <f t="shared" si="7"/>
        <v>196.44232848895263</v>
      </c>
      <c r="S29" s="16"/>
    </row>
    <row r="30" spans="1:19" x14ac:dyDescent="0.25">
      <c r="L30">
        <f t="shared" si="11"/>
        <v>9.5</v>
      </c>
      <c r="M30">
        <f t="shared" si="9"/>
        <v>4.8000000000000007</v>
      </c>
      <c r="N30" s="18">
        <f t="shared" si="3"/>
        <v>33.573020700788994</v>
      </c>
      <c r="O30" s="18">
        <f t="shared" si="4"/>
        <v>-22.521190059785017</v>
      </c>
      <c r="P30" s="18">
        <f t="shared" si="5"/>
        <v>-115.60716956465043</v>
      </c>
      <c r="Q30" s="18">
        <f t="shared" si="6"/>
        <v>-35.270890274747728</v>
      </c>
      <c r="R30" s="18">
        <f t="shared" si="7"/>
        <v>190.20876914516273</v>
      </c>
      <c r="S30" s="16"/>
    </row>
    <row r="31" spans="1:19" x14ac:dyDescent="0.25">
      <c r="L31">
        <f t="shared" si="11"/>
        <v>9.99</v>
      </c>
      <c r="M31">
        <f t="shared" si="9"/>
        <v>4.9960000000000004</v>
      </c>
      <c r="N31" s="18">
        <f t="shared" si="3"/>
        <v>2.6076118001173398</v>
      </c>
      <c r="O31" s="18">
        <f t="shared" si="4"/>
        <v>-63.703456340095165</v>
      </c>
      <c r="P31" s="18">
        <f t="shared" si="5"/>
        <v>-154.5484389999649</v>
      </c>
      <c r="Q31" s="18">
        <f t="shared" si="6"/>
        <v>-63.959224128966007</v>
      </c>
      <c r="R31" s="18">
        <f t="shared" si="7"/>
        <v>182.73800343092739</v>
      </c>
      <c r="S31" s="16"/>
    </row>
    <row r="32" spans="1:19" x14ac:dyDescent="0.25">
      <c r="L32">
        <f t="shared" si="11"/>
        <v>10</v>
      </c>
      <c r="M32">
        <f t="shared" si="9"/>
        <v>5</v>
      </c>
      <c r="N32" s="18">
        <f t="shared" si="3"/>
        <v>1.9416258917765343</v>
      </c>
      <c r="O32" s="18">
        <f t="shared" si="4"/>
        <v>-64.580613949045102</v>
      </c>
      <c r="P32" s="18">
        <f t="shared" si="5"/>
        <v>-155.38101490888349</v>
      </c>
      <c r="Q32" s="18">
        <f t="shared" si="6"/>
        <v>-64.580613949045812</v>
      </c>
      <c r="R32" s="18">
        <f t="shared" si="7"/>
        <v>182.57161486556433</v>
      </c>
      <c r="S32" s="16"/>
    </row>
    <row r="33" spans="12:19" x14ac:dyDescent="0.25">
      <c r="L33">
        <f>L19</f>
        <v>0.01</v>
      </c>
      <c r="M33">
        <f t="shared" ref="M33:M46" si="16">IF($F$8=0,M32,$M$32+($F$8-$M$32)/10*L33)</f>
        <v>5.0039999999999996</v>
      </c>
      <c r="N33" s="18">
        <f t="shared" si="3"/>
        <v>2.6076118001172928</v>
      </c>
      <c r="O33" s="18">
        <f t="shared" si="4"/>
        <v>-63.959224128965353</v>
      </c>
      <c r="P33" s="18">
        <f t="shared" si="5"/>
        <v>-154.54843899996501</v>
      </c>
      <c r="Q33" s="18">
        <f t="shared" si="6"/>
        <v>-63.703456340096004</v>
      </c>
      <c r="R33" s="18">
        <f t="shared" si="7"/>
        <v>182.73800343092736</v>
      </c>
      <c r="S33" s="16"/>
    </row>
    <row r="34" spans="12:19" x14ac:dyDescent="0.25">
      <c r="L34">
        <f t="shared" si="11"/>
        <v>0.5</v>
      </c>
      <c r="M34">
        <f t="shared" si="16"/>
        <v>5.2</v>
      </c>
      <c r="N34" s="18">
        <f t="shared" si="3"/>
        <v>33.573020700789208</v>
      </c>
      <c r="O34" s="18">
        <f t="shared" si="4"/>
        <v>-35.270890274746762</v>
      </c>
      <c r="P34" s="18">
        <f t="shared" si="5"/>
        <v>-115.60716956465021</v>
      </c>
      <c r="Q34" s="18">
        <f t="shared" si="6"/>
        <v>-22.521190059785496</v>
      </c>
      <c r="R34" s="18">
        <f t="shared" si="7"/>
        <v>190.20876914516276</v>
      </c>
      <c r="S34" s="16"/>
    </row>
    <row r="35" spans="12:19" x14ac:dyDescent="0.25">
      <c r="L35">
        <f t="shared" si="11"/>
        <v>1</v>
      </c>
      <c r="M35">
        <f t="shared" si="16"/>
        <v>5.4</v>
      </c>
      <c r="N35" s="18">
        <f t="shared" si="3"/>
        <v>61.79951693085593</v>
      </c>
      <c r="O35" s="18">
        <f t="shared" si="4"/>
        <v>-9.4728736183958411</v>
      </c>
      <c r="P35" s="18">
        <f t="shared" si="5"/>
        <v>-79.610726525170364</v>
      </c>
      <c r="Q35" s="18">
        <f t="shared" si="6"/>
        <v>15.793990591579927</v>
      </c>
      <c r="R35" s="18">
        <f t="shared" si="7"/>
        <v>196.44232848895282</v>
      </c>
      <c r="S35" s="16"/>
    </row>
    <row r="36" spans="12:19" x14ac:dyDescent="0.25">
      <c r="L36">
        <f t="shared" si="11"/>
        <v>2</v>
      </c>
      <c r="M36">
        <f t="shared" si="16"/>
        <v>5.8</v>
      </c>
      <c r="N36" s="18">
        <f t="shared" si="3"/>
        <v>108.01013795351756</v>
      </c>
      <c r="O36" s="18">
        <f t="shared" si="4"/>
        <v>32.082838126035213</v>
      </c>
      <c r="P36" s="18">
        <f t="shared" si="5"/>
        <v>-18.851629613699942</v>
      </c>
      <c r="Q36" s="18">
        <f t="shared" si="6"/>
        <v>80.747101299258887</v>
      </c>
      <c r="R36" s="18">
        <f t="shared" si="7"/>
        <v>204.53826762945275</v>
      </c>
      <c r="S36" s="16"/>
    </row>
    <row r="37" spans="12:19" x14ac:dyDescent="0.25">
      <c r="L37">
        <f t="shared" si="11"/>
        <v>3</v>
      </c>
      <c r="M37">
        <f t="shared" si="16"/>
        <v>6.2</v>
      </c>
      <c r="N37" s="18">
        <f t="shared" si="3"/>
        <v>140.42669093597993</v>
      </c>
      <c r="O37" s="18">
        <f t="shared" si="4"/>
        <v>61.072386121748671</v>
      </c>
      <c r="P37" s="18">
        <f t="shared" si="5"/>
        <v>27.167039700352227</v>
      </c>
      <c r="Q37" s="18">
        <f t="shared" si="6"/>
        <v>129.34693281760244</v>
      </c>
      <c r="R37" s="18">
        <f t="shared" si="7"/>
        <v>206.29858500663659</v>
      </c>
      <c r="S37" s="16"/>
    </row>
    <row r="38" spans="12:19" x14ac:dyDescent="0.25">
      <c r="L38">
        <f t="shared" si="11"/>
        <v>4</v>
      </c>
      <c r="M38">
        <f t="shared" si="16"/>
        <v>6.6</v>
      </c>
      <c r="N38" s="18">
        <f t="shared" si="3"/>
        <v>158.69826538328456</v>
      </c>
      <c r="O38" s="18">
        <f t="shared" si="4"/>
        <v>78.423731903409774</v>
      </c>
      <c r="P38" s="18">
        <f t="shared" si="5"/>
        <v>58.757188560381493</v>
      </c>
      <c r="Q38" s="18">
        <f t="shared" si="6"/>
        <v>160.51105175852157</v>
      </c>
      <c r="R38" s="18">
        <f t="shared" si="7"/>
        <v>200.76953923281064</v>
      </c>
      <c r="S38" s="16"/>
    </row>
    <row r="39" spans="12:19" x14ac:dyDescent="0.25">
      <c r="L39">
        <f t="shared" si="11"/>
        <v>5</v>
      </c>
      <c r="M39">
        <f t="shared" si="16"/>
        <v>7</v>
      </c>
      <c r="N39" s="18">
        <f t="shared" si="3"/>
        <v>162.20735971508947</v>
      </c>
      <c r="O39" s="18">
        <f t="shared" si="4"/>
        <v>84.950660574932286</v>
      </c>
      <c r="P39" s="18">
        <f t="shared" si="5"/>
        <v>76.182911802147075</v>
      </c>
      <c r="Q39" s="18">
        <f t="shared" si="6"/>
        <v>172.91288599487581</v>
      </c>
      <c r="R39" s="18">
        <f t="shared" si="7"/>
        <v>186.60140282305861</v>
      </c>
      <c r="S39" s="16"/>
    </row>
    <row r="40" spans="12:19" x14ac:dyDescent="0.25">
      <c r="L40">
        <f t="shared" si="11"/>
        <v>6</v>
      </c>
      <c r="M40">
        <f t="shared" si="16"/>
        <v>7.4</v>
      </c>
      <c r="N40" s="18">
        <f t="shared" si="3"/>
        <v>150.03480029099708</v>
      </c>
      <c r="O40" s="18">
        <f t="shared" si="4"/>
        <v>81.319016060915303</v>
      </c>
      <c r="P40" s="18">
        <f t="shared" si="5"/>
        <v>79.599411089741196</v>
      </c>
      <c r="Q40" s="18">
        <f t="shared" si="6"/>
        <v>164.92197828505456</v>
      </c>
      <c r="R40" s="18">
        <f t="shared" si="7"/>
        <v>162.05957231198602</v>
      </c>
      <c r="S40" s="16"/>
    </row>
    <row r="41" spans="12:19" x14ac:dyDescent="0.25">
      <c r="L41">
        <f t="shared" si="11"/>
        <v>7</v>
      </c>
      <c r="M41">
        <f t="shared" si="16"/>
        <v>7.8000000000000007</v>
      </c>
      <c r="N41" s="18">
        <f t="shared" si="3"/>
        <v>120.95326166838808</v>
      </c>
      <c r="O41" s="18">
        <f t="shared" si="4"/>
        <v>68.0338843052443</v>
      </c>
      <c r="P41" s="18">
        <f t="shared" si="5"/>
        <v>69.019298492176503</v>
      </c>
      <c r="Q41" s="18">
        <f t="shared" si="6"/>
        <v>134.5805648696755</v>
      </c>
      <c r="R41" s="18">
        <f t="shared" si="7"/>
        <v>125.05248302476079</v>
      </c>
      <c r="S41" s="16"/>
    </row>
    <row r="42" spans="12:19" x14ac:dyDescent="0.25">
      <c r="L42">
        <f t="shared" si="11"/>
        <v>8</v>
      </c>
      <c r="M42">
        <f t="shared" si="16"/>
        <v>8.1999999999999993</v>
      </c>
      <c r="N42" s="18">
        <f t="shared" si="3"/>
        <v>73.451164965504447</v>
      </c>
      <c r="O42" s="18">
        <f t="shared" si="4"/>
        <v>45.446442895864642</v>
      </c>
      <c r="P42" s="18">
        <f t="shared" si="5"/>
        <v>44.305995673030154</v>
      </c>
      <c r="Q42" s="18">
        <f t="shared" si="6"/>
        <v>79.619634747877711</v>
      </c>
      <c r="R42" s="18">
        <f t="shared" si="7"/>
        <v>73.179668780434284</v>
      </c>
      <c r="S42" s="16"/>
    </row>
    <row r="43" spans="12:19" x14ac:dyDescent="0.25">
      <c r="L43">
        <f t="shared" si="11"/>
        <v>9</v>
      </c>
      <c r="M43">
        <f t="shared" si="16"/>
        <v>8.6</v>
      </c>
      <c r="N43" s="18">
        <f t="shared" si="3"/>
        <v>5.789316421897559</v>
      </c>
      <c r="O43" s="18">
        <f t="shared" si="4"/>
        <v>13.779499665673605</v>
      </c>
      <c r="P43" s="18">
        <f t="shared" si="5"/>
        <v>5.1942064653028588</v>
      </c>
      <c r="Q43" s="18">
        <f t="shared" si="6"/>
        <v>-2.4817553843087099</v>
      </c>
      <c r="R43" s="18">
        <f t="shared" si="7"/>
        <v>3.8039895617079544</v>
      </c>
      <c r="S43" s="16"/>
    </row>
    <row r="44" spans="12:19" x14ac:dyDescent="0.25">
      <c r="L44">
        <f t="shared" si="11"/>
        <v>9.5</v>
      </c>
      <c r="M44">
        <f t="shared" si="16"/>
        <v>8.8000000000000007</v>
      </c>
      <c r="N44" s="18">
        <f t="shared" si="3"/>
        <v>-36.185325558734199</v>
      </c>
      <c r="O44" s="18">
        <f t="shared" si="4"/>
        <v>-5.4139050217853075</v>
      </c>
      <c r="P44" s="18">
        <f t="shared" si="5"/>
        <v>-19.86802577136255</v>
      </c>
      <c r="Q44" s="18">
        <f t="shared" si="6"/>
        <v>-54.541543412473793</v>
      </c>
      <c r="R44" s="18">
        <f t="shared" si="7"/>
        <v>-38.312059670901093</v>
      </c>
      <c r="S44" s="16"/>
    </row>
    <row r="45" spans="12:19" x14ac:dyDescent="0.25">
      <c r="L45">
        <f t="shared" si="11"/>
        <v>9.99</v>
      </c>
      <c r="M45">
        <f t="shared" si="16"/>
        <v>8.9960000000000004</v>
      </c>
      <c r="N45" s="18">
        <f t="shared" si="3"/>
        <v>-82.894538640394686</v>
      </c>
      <c r="O45" s="18">
        <f t="shared" si="4"/>
        <v>-26.378979633223182</v>
      </c>
      <c r="P45" s="18">
        <f t="shared" si="5"/>
        <v>-48.049532354653245</v>
      </c>
      <c r="Q45" s="18">
        <f t="shared" si="6"/>
        <v>-113.11411304580015</v>
      </c>
      <c r="R45" s="18">
        <f t="shared" si="7"/>
        <v>-84.841297289914181</v>
      </c>
      <c r="S45" s="16"/>
    </row>
    <row r="46" spans="12:19" x14ac:dyDescent="0.25">
      <c r="L46">
        <f t="shared" si="11"/>
        <v>10</v>
      </c>
      <c r="M46">
        <f t="shared" si="16"/>
        <v>9</v>
      </c>
      <c r="N46" s="18">
        <f t="shared" si="3"/>
        <v>-83.906813436580123</v>
      </c>
      <c r="O46" s="18">
        <f t="shared" si="4"/>
        <v>-26.828966020636535</v>
      </c>
      <c r="P46" s="18">
        <f t="shared" si="5"/>
        <v>-48.662280044284742</v>
      </c>
      <c r="Q46" s="18">
        <f t="shared" si="6"/>
        <v>-114.38954849891147</v>
      </c>
      <c r="R46" s="18">
        <f t="shared" si="7"/>
        <v>-85.847361149268593</v>
      </c>
      <c r="S46" s="16"/>
    </row>
    <row r="47" spans="12:19" x14ac:dyDescent="0.25">
      <c r="L47">
        <f>L33</f>
        <v>0.01</v>
      </c>
      <c r="M47">
        <f t="shared" ref="M47:M60" si="17">IF($F$9=0,M46,$M$46+($F$9-$M$46)/10*L47)</f>
        <v>9</v>
      </c>
      <c r="N47" s="18">
        <f t="shared" si="3"/>
        <v>-83.906813436580123</v>
      </c>
      <c r="O47" s="18">
        <f t="shared" si="4"/>
        <v>-26.828966020636535</v>
      </c>
      <c r="P47" s="18">
        <f t="shared" si="5"/>
        <v>-48.662280044284742</v>
      </c>
      <c r="Q47" s="18">
        <f t="shared" si="6"/>
        <v>-114.38954849891147</v>
      </c>
      <c r="R47" s="18">
        <f t="shared" si="7"/>
        <v>-85.847361149268593</v>
      </c>
      <c r="S47" s="16"/>
    </row>
    <row r="48" spans="12:19" x14ac:dyDescent="0.25">
      <c r="L48">
        <f t="shared" si="11"/>
        <v>0.5</v>
      </c>
      <c r="M48">
        <f t="shared" si="17"/>
        <v>9</v>
      </c>
      <c r="N48" s="18">
        <f t="shared" si="3"/>
        <v>-83.906813436580123</v>
      </c>
      <c r="O48" s="18">
        <f t="shared" si="4"/>
        <v>-26.828966020636535</v>
      </c>
      <c r="P48" s="18">
        <f t="shared" si="5"/>
        <v>-48.662280044284742</v>
      </c>
      <c r="Q48" s="18">
        <f t="shared" si="6"/>
        <v>-114.38954849891147</v>
      </c>
      <c r="R48" s="18">
        <f t="shared" si="7"/>
        <v>-85.847361149268593</v>
      </c>
      <c r="S48" s="16"/>
    </row>
    <row r="49" spans="7:19" x14ac:dyDescent="0.25">
      <c r="L49">
        <f t="shared" si="11"/>
        <v>1</v>
      </c>
      <c r="M49">
        <f t="shared" si="17"/>
        <v>9</v>
      </c>
      <c r="N49" s="18">
        <f t="shared" si="3"/>
        <v>-83.906813436580123</v>
      </c>
      <c r="O49" s="18">
        <f t="shared" si="4"/>
        <v>-26.828966020636535</v>
      </c>
      <c r="P49" s="18">
        <f t="shared" si="5"/>
        <v>-48.662280044284742</v>
      </c>
      <c r="Q49" s="18">
        <f t="shared" si="6"/>
        <v>-114.38954849891147</v>
      </c>
      <c r="R49" s="18">
        <f t="shared" si="7"/>
        <v>-85.847361149268593</v>
      </c>
      <c r="S49" s="16"/>
    </row>
    <row r="50" spans="7:19" x14ac:dyDescent="0.25">
      <c r="L50">
        <f t="shared" si="11"/>
        <v>2</v>
      </c>
      <c r="M50">
        <f t="shared" si="17"/>
        <v>9</v>
      </c>
      <c r="N50" s="18">
        <f t="shared" si="3"/>
        <v>-83.906813436580123</v>
      </c>
      <c r="O50" s="18">
        <f t="shared" si="4"/>
        <v>-26.828966020636535</v>
      </c>
      <c r="P50" s="18">
        <f t="shared" si="5"/>
        <v>-48.662280044284742</v>
      </c>
      <c r="Q50" s="18">
        <f t="shared" si="6"/>
        <v>-114.38954849891147</v>
      </c>
      <c r="R50" s="18">
        <f t="shared" si="7"/>
        <v>-85.847361149268593</v>
      </c>
      <c r="S50" s="16"/>
    </row>
    <row r="51" spans="7:19" x14ac:dyDescent="0.25">
      <c r="L51">
        <f t="shared" si="11"/>
        <v>3</v>
      </c>
      <c r="M51">
        <f t="shared" si="17"/>
        <v>9</v>
      </c>
      <c r="N51" s="18">
        <f t="shared" si="3"/>
        <v>-83.906813436580123</v>
      </c>
      <c r="O51" s="18">
        <f t="shared" si="4"/>
        <v>-26.828966020636535</v>
      </c>
      <c r="P51" s="18">
        <f t="shared" si="5"/>
        <v>-48.662280044284742</v>
      </c>
      <c r="Q51" s="18">
        <f t="shared" si="6"/>
        <v>-114.38954849891147</v>
      </c>
      <c r="R51" s="18">
        <f t="shared" si="7"/>
        <v>-85.847361149268593</v>
      </c>
      <c r="S51" s="16"/>
    </row>
    <row r="52" spans="7:19" x14ac:dyDescent="0.25">
      <c r="G52" s="15"/>
      <c r="L52">
        <f t="shared" si="11"/>
        <v>4</v>
      </c>
      <c r="M52">
        <f t="shared" si="17"/>
        <v>9</v>
      </c>
      <c r="N52" s="18">
        <f t="shared" si="3"/>
        <v>-83.906813436580123</v>
      </c>
      <c r="O52" s="18">
        <f t="shared" si="4"/>
        <v>-26.828966020636535</v>
      </c>
      <c r="P52" s="18">
        <f t="shared" si="5"/>
        <v>-48.662280044284742</v>
      </c>
      <c r="Q52" s="18">
        <f t="shared" si="6"/>
        <v>-114.38954849891147</v>
      </c>
      <c r="R52" s="18">
        <f t="shared" si="7"/>
        <v>-85.847361149268593</v>
      </c>
      <c r="S52" s="16"/>
    </row>
    <row r="53" spans="7:19" x14ac:dyDescent="0.25">
      <c r="L53">
        <f t="shared" si="11"/>
        <v>5</v>
      </c>
      <c r="M53">
        <f t="shared" si="17"/>
        <v>9</v>
      </c>
      <c r="N53" s="18">
        <f t="shared" si="3"/>
        <v>-83.906813436580123</v>
      </c>
      <c r="O53" s="18">
        <f t="shared" si="4"/>
        <v>-26.828966020636535</v>
      </c>
      <c r="P53" s="18">
        <f t="shared" si="5"/>
        <v>-48.662280044284742</v>
      </c>
      <c r="Q53" s="18">
        <f t="shared" si="6"/>
        <v>-114.38954849891147</v>
      </c>
      <c r="R53" s="18">
        <f t="shared" si="7"/>
        <v>-85.847361149268593</v>
      </c>
      <c r="S53" s="16"/>
    </row>
    <row r="54" spans="7:19" x14ac:dyDescent="0.25">
      <c r="G54" s="15"/>
      <c r="L54">
        <f t="shared" si="11"/>
        <v>6</v>
      </c>
      <c r="M54">
        <f t="shared" si="17"/>
        <v>9</v>
      </c>
      <c r="N54" s="18">
        <f t="shared" si="3"/>
        <v>-83.906813436580123</v>
      </c>
      <c r="O54" s="18">
        <f t="shared" si="4"/>
        <v>-26.828966020636535</v>
      </c>
      <c r="P54" s="18">
        <f t="shared" si="5"/>
        <v>-48.662280044284742</v>
      </c>
      <c r="Q54" s="18">
        <f t="shared" si="6"/>
        <v>-114.38954849891147</v>
      </c>
      <c r="R54" s="18">
        <f t="shared" si="7"/>
        <v>-85.847361149268593</v>
      </c>
      <c r="S54" s="16"/>
    </row>
    <row r="55" spans="7:19" x14ac:dyDescent="0.25">
      <c r="L55">
        <f t="shared" si="11"/>
        <v>7</v>
      </c>
      <c r="M55">
        <f t="shared" si="17"/>
        <v>9</v>
      </c>
      <c r="N55" s="18">
        <f t="shared" si="3"/>
        <v>-83.906813436580123</v>
      </c>
      <c r="O55" s="18">
        <f t="shared" si="4"/>
        <v>-26.828966020636535</v>
      </c>
      <c r="P55" s="18">
        <f t="shared" si="5"/>
        <v>-48.662280044284742</v>
      </c>
      <c r="Q55" s="18">
        <f t="shared" si="6"/>
        <v>-114.38954849891147</v>
      </c>
      <c r="R55" s="18">
        <f t="shared" si="7"/>
        <v>-85.847361149268593</v>
      </c>
      <c r="S55" s="16"/>
    </row>
    <row r="56" spans="7:19" x14ac:dyDescent="0.25">
      <c r="L56">
        <f t="shared" si="11"/>
        <v>8</v>
      </c>
      <c r="M56">
        <f t="shared" si="17"/>
        <v>9</v>
      </c>
      <c r="N56" s="18">
        <f t="shared" si="3"/>
        <v>-83.906813436580123</v>
      </c>
      <c r="O56" s="18">
        <f t="shared" si="4"/>
        <v>-26.828966020636535</v>
      </c>
      <c r="P56" s="18">
        <f t="shared" si="5"/>
        <v>-48.662280044284742</v>
      </c>
      <c r="Q56" s="18">
        <f t="shared" si="6"/>
        <v>-114.38954849891147</v>
      </c>
      <c r="R56" s="18">
        <f t="shared" si="7"/>
        <v>-85.847361149268593</v>
      </c>
      <c r="S56" s="16"/>
    </row>
    <row r="57" spans="7:19" x14ac:dyDescent="0.25">
      <c r="L57">
        <f t="shared" si="11"/>
        <v>9</v>
      </c>
      <c r="M57">
        <f t="shared" si="17"/>
        <v>9</v>
      </c>
      <c r="N57" s="18">
        <f t="shared" si="3"/>
        <v>-83.906813436580123</v>
      </c>
      <c r="O57" s="18">
        <f t="shared" si="4"/>
        <v>-26.828966020636535</v>
      </c>
      <c r="P57" s="18">
        <f t="shared" si="5"/>
        <v>-48.662280044284742</v>
      </c>
      <c r="Q57" s="18">
        <f t="shared" si="6"/>
        <v>-114.38954849891147</v>
      </c>
      <c r="R57" s="18">
        <f t="shared" si="7"/>
        <v>-85.847361149268593</v>
      </c>
      <c r="S57" s="16"/>
    </row>
    <row r="58" spans="7:19" x14ac:dyDescent="0.25">
      <c r="L58">
        <f t="shared" si="11"/>
        <v>9.5</v>
      </c>
      <c r="M58">
        <f t="shared" si="17"/>
        <v>9</v>
      </c>
      <c r="N58" s="18">
        <f t="shared" si="3"/>
        <v>-83.906813436580123</v>
      </c>
      <c r="O58" s="18">
        <f t="shared" si="4"/>
        <v>-26.828966020636535</v>
      </c>
      <c r="P58" s="18">
        <f t="shared" si="5"/>
        <v>-48.662280044284742</v>
      </c>
      <c r="Q58" s="18">
        <f t="shared" si="6"/>
        <v>-114.38954849891147</v>
      </c>
      <c r="R58" s="18">
        <f t="shared" si="7"/>
        <v>-85.847361149268593</v>
      </c>
      <c r="S58" s="16"/>
    </row>
    <row r="59" spans="7:19" x14ac:dyDescent="0.25">
      <c r="L59">
        <f t="shared" si="11"/>
        <v>9.99</v>
      </c>
      <c r="M59">
        <f t="shared" si="17"/>
        <v>9</v>
      </c>
      <c r="N59" s="18">
        <f t="shared" si="3"/>
        <v>-83.906813436580123</v>
      </c>
      <c r="O59" s="18">
        <f t="shared" si="4"/>
        <v>-26.828966020636535</v>
      </c>
      <c r="P59" s="18">
        <f t="shared" si="5"/>
        <v>-48.662280044284742</v>
      </c>
      <c r="Q59" s="18">
        <f t="shared" si="6"/>
        <v>-114.38954849891147</v>
      </c>
      <c r="R59" s="18">
        <f t="shared" si="7"/>
        <v>-85.847361149268593</v>
      </c>
      <c r="S59" s="16"/>
    </row>
    <row r="60" spans="7:19" x14ac:dyDescent="0.25">
      <c r="L60">
        <f t="shared" si="11"/>
        <v>10</v>
      </c>
      <c r="M60">
        <f t="shared" si="17"/>
        <v>9</v>
      </c>
      <c r="N60" s="18">
        <f t="shared" si="3"/>
        <v>-83.906813436580123</v>
      </c>
      <c r="O60" s="18">
        <f t="shared" si="4"/>
        <v>-26.828966020636535</v>
      </c>
      <c r="P60" s="18">
        <f t="shared" si="5"/>
        <v>-48.662280044284742</v>
      </c>
      <c r="Q60" s="18">
        <f t="shared" si="6"/>
        <v>-114.38954849891147</v>
      </c>
      <c r="R60" s="18">
        <f t="shared" si="7"/>
        <v>-85.847361149268593</v>
      </c>
      <c r="S60" s="16"/>
    </row>
    <row r="61" spans="7:19" x14ac:dyDescent="0.25">
      <c r="L61">
        <f t="shared" si="11"/>
        <v>0.01</v>
      </c>
      <c r="M61">
        <f t="shared" ref="M61:M74" si="18">IF($F$10=0,M60,$M$60+($F$10-$M$60)/10*L61)</f>
        <v>9</v>
      </c>
      <c r="N61" s="18">
        <f t="shared" si="3"/>
        <v>-83.906813436580123</v>
      </c>
      <c r="O61" s="18">
        <f t="shared" si="4"/>
        <v>-26.828966020636535</v>
      </c>
      <c r="P61" s="18">
        <f t="shared" si="5"/>
        <v>-48.662280044284742</v>
      </c>
      <c r="Q61" s="18">
        <f t="shared" si="6"/>
        <v>-114.38954849891147</v>
      </c>
      <c r="R61" s="18">
        <f t="shared" si="7"/>
        <v>-85.847361149268593</v>
      </c>
      <c r="S61" s="16"/>
    </row>
    <row r="62" spans="7:19" x14ac:dyDescent="0.25">
      <c r="L62">
        <f t="shared" si="11"/>
        <v>0.5</v>
      </c>
      <c r="M62">
        <f t="shared" si="18"/>
        <v>9</v>
      </c>
      <c r="N62" s="18">
        <f t="shared" si="3"/>
        <v>-83.906813436580123</v>
      </c>
      <c r="O62" s="18">
        <f t="shared" si="4"/>
        <v>-26.828966020636535</v>
      </c>
      <c r="P62" s="18">
        <f t="shared" si="5"/>
        <v>-48.662280044284742</v>
      </c>
      <c r="Q62" s="18">
        <f t="shared" si="6"/>
        <v>-114.38954849891147</v>
      </c>
      <c r="R62" s="18">
        <f t="shared" si="7"/>
        <v>-85.847361149268593</v>
      </c>
      <c r="S62" s="16"/>
    </row>
    <row r="63" spans="7:19" x14ac:dyDescent="0.25">
      <c r="L63">
        <f t="shared" si="11"/>
        <v>1</v>
      </c>
      <c r="M63">
        <f t="shared" si="18"/>
        <v>9</v>
      </c>
      <c r="N63" s="18">
        <f t="shared" si="3"/>
        <v>-83.906813436580123</v>
      </c>
      <c r="O63" s="18">
        <f t="shared" si="4"/>
        <v>-26.828966020636535</v>
      </c>
      <c r="P63" s="18">
        <f t="shared" si="5"/>
        <v>-48.662280044284742</v>
      </c>
      <c r="Q63" s="18">
        <f t="shared" si="6"/>
        <v>-114.38954849891147</v>
      </c>
      <c r="R63" s="18">
        <f t="shared" si="7"/>
        <v>-85.847361149268593</v>
      </c>
      <c r="S63" s="16"/>
    </row>
    <row r="64" spans="7:19" x14ac:dyDescent="0.25">
      <c r="L64">
        <f t="shared" si="11"/>
        <v>2</v>
      </c>
      <c r="M64">
        <f t="shared" si="18"/>
        <v>9</v>
      </c>
      <c r="N64" s="18">
        <f t="shared" si="3"/>
        <v>-83.906813436580123</v>
      </c>
      <c r="O64" s="18">
        <f t="shared" si="4"/>
        <v>-26.828966020636535</v>
      </c>
      <c r="P64" s="18">
        <f t="shared" si="5"/>
        <v>-48.662280044284742</v>
      </c>
      <c r="Q64" s="18">
        <f t="shared" si="6"/>
        <v>-114.38954849891147</v>
      </c>
      <c r="R64" s="18">
        <f t="shared" si="7"/>
        <v>-85.847361149268593</v>
      </c>
      <c r="S64" s="16"/>
    </row>
    <row r="65" spans="12:19" x14ac:dyDescent="0.25">
      <c r="L65">
        <f t="shared" si="11"/>
        <v>3</v>
      </c>
      <c r="M65">
        <f t="shared" si="18"/>
        <v>9</v>
      </c>
      <c r="N65" s="18">
        <f t="shared" si="3"/>
        <v>-83.906813436580123</v>
      </c>
      <c r="O65" s="18">
        <f t="shared" si="4"/>
        <v>-26.828966020636535</v>
      </c>
      <c r="P65" s="18">
        <f t="shared" si="5"/>
        <v>-48.662280044284742</v>
      </c>
      <c r="Q65" s="18">
        <f t="shared" si="6"/>
        <v>-114.38954849891147</v>
      </c>
      <c r="R65" s="18">
        <f t="shared" si="7"/>
        <v>-85.847361149268593</v>
      </c>
      <c r="S65" s="16"/>
    </row>
    <row r="66" spans="12:19" x14ac:dyDescent="0.25">
      <c r="L66">
        <f t="shared" si="11"/>
        <v>4</v>
      </c>
      <c r="M66">
        <f t="shared" si="18"/>
        <v>9</v>
      </c>
      <c r="N66" s="18">
        <f t="shared" si="3"/>
        <v>-83.906813436580123</v>
      </c>
      <c r="O66" s="18">
        <f t="shared" si="4"/>
        <v>-26.828966020636535</v>
      </c>
      <c r="P66" s="18">
        <f t="shared" si="5"/>
        <v>-48.662280044284742</v>
      </c>
      <c r="Q66" s="18">
        <f t="shared" si="6"/>
        <v>-114.38954849891147</v>
      </c>
      <c r="R66" s="18">
        <f t="shared" si="7"/>
        <v>-85.847361149268593</v>
      </c>
      <c r="S66" s="16"/>
    </row>
    <row r="67" spans="12:19" x14ac:dyDescent="0.25">
      <c r="L67">
        <f t="shared" si="11"/>
        <v>5</v>
      </c>
      <c r="M67">
        <f t="shared" si="18"/>
        <v>9</v>
      </c>
      <c r="N67" s="18">
        <f t="shared" si="3"/>
        <v>-83.906813436580123</v>
      </c>
      <c r="O67" s="18">
        <f t="shared" si="4"/>
        <v>-26.828966020636535</v>
      </c>
      <c r="P67" s="18">
        <f t="shared" si="5"/>
        <v>-48.662280044284742</v>
      </c>
      <c r="Q67" s="18">
        <f t="shared" si="6"/>
        <v>-114.38954849891147</v>
      </c>
      <c r="R67" s="18">
        <f t="shared" si="7"/>
        <v>-85.847361149268593</v>
      </c>
      <c r="S67" s="16"/>
    </row>
    <row r="68" spans="12:19" x14ac:dyDescent="0.25">
      <c r="L68">
        <f t="shared" si="11"/>
        <v>6</v>
      </c>
      <c r="M68">
        <f t="shared" si="18"/>
        <v>9</v>
      </c>
      <c r="N68" s="18">
        <f t="shared" si="3"/>
        <v>-83.906813436580123</v>
      </c>
      <c r="O68" s="18">
        <f t="shared" si="4"/>
        <v>-26.828966020636535</v>
      </c>
      <c r="P68" s="18">
        <f t="shared" si="5"/>
        <v>-48.662280044284742</v>
      </c>
      <c r="Q68" s="18">
        <f t="shared" si="6"/>
        <v>-114.38954849891147</v>
      </c>
      <c r="R68" s="18">
        <f t="shared" si="7"/>
        <v>-85.847361149268593</v>
      </c>
      <c r="S68" s="16"/>
    </row>
    <row r="69" spans="12:19" x14ac:dyDescent="0.25">
      <c r="L69">
        <f t="shared" si="11"/>
        <v>7</v>
      </c>
      <c r="M69">
        <f t="shared" si="18"/>
        <v>9</v>
      </c>
      <c r="N69" s="18">
        <f t="shared" ref="N69:N116" si="19">Moment($M69,$B$4,$B$5,$B$15*1000,$B$10*1000,$F$6:$F$8,G$6:G$8)</f>
        <v>-83.906813436580123</v>
      </c>
      <c r="O69" s="18">
        <f t="shared" ref="O69:O116" si="20">Moment($M69,$B$4,$B$5,$B$15*1000,$B$10*1000,$F$6:$F$8,H$6:H$8)</f>
        <v>-26.828966020636535</v>
      </c>
      <c r="P69" s="18">
        <f t="shared" ref="P69:P116" si="21">Moment($M69,$B$4,$B$5,$B$15*1000,$B$10*1000,$F$6:$F$8,I$6:I$8)</f>
        <v>-48.662280044284742</v>
      </c>
      <c r="Q69" s="18">
        <f t="shared" ref="Q69:Q116" si="22">Moment($M69,$B$4,$B$5,$B$15*1000,$B$10*1000,$F$6:$F$8,J$6:J$8)</f>
        <v>-114.38954849891147</v>
      </c>
      <c r="R69" s="18">
        <f t="shared" ref="R69:R116" si="23">Moment($M69,$B$4,$B$5,$B$15*1000,$B$10*1000,$F$6:$F$8,K$6:K$8)</f>
        <v>-85.847361149268593</v>
      </c>
      <c r="S69" s="16"/>
    </row>
    <row r="70" spans="12:19" x14ac:dyDescent="0.25">
      <c r="L70">
        <f t="shared" si="11"/>
        <v>8</v>
      </c>
      <c r="M70">
        <f t="shared" si="18"/>
        <v>9</v>
      </c>
      <c r="N70" s="18">
        <f t="shared" si="19"/>
        <v>-83.906813436580123</v>
      </c>
      <c r="O70" s="18">
        <f t="shared" si="20"/>
        <v>-26.828966020636535</v>
      </c>
      <c r="P70" s="18">
        <f t="shared" si="21"/>
        <v>-48.662280044284742</v>
      </c>
      <c r="Q70" s="18">
        <f t="shared" si="22"/>
        <v>-114.38954849891147</v>
      </c>
      <c r="R70" s="18">
        <f t="shared" si="23"/>
        <v>-85.847361149268593</v>
      </c>
      <c r="S70" s="16"/>
    </row>
    <row r="71" spans="12:19" x14ac:dyDescent="0.25">
      <c r="L71">
        <f t="shared" si="11"/>
        <v>9</v>
      </c>
      <c r="M71">
        <f t="shared" si="18"/>
        <v>9</v>
      </c>
      <c r="N71" s="18">
        <f t="shared" si="19"/>
        <v>-83.906813436580123</v>
      </c>
      <c r="O71" s="18">
        <f t="shared" si="20"/>
        <v>-26.828966020636535</v>
      </c>
      <c r="P71" s="18">
        <f t="shared" si="21"/>
        <v>-48.662280044284742</v>
      </c>
      <c r="Q71" s="18">
        <f t="shared" si="22"/>
        <v>-114.38954849891147</v>
      </c>
      <c r="R71" s="18">
        <f t="shared" si="23"/>
        <v>-85.847361149268593</v>
      </c>
      <c r="S71" s="16"/>
    </row>
    <row r="72" spans="12:19" x14ac:dyDescent="0.25">
      <c r="L72">
        <f t="shared" si="11"/>
        <v>9.5</v>
      </c>
      <c r="M72">
        <f t="shared" si="18"/>
        <v>9</v>
      </c>
      <c r="N72" s="18">
        <f t="shared" si="19"/>
        <v>-83.906813436580123</v>
      </c>
      <c r="O72" s="18">
        <f t="shared" si="20"/>
        <v>-26.828966020636535</v>
      </c>
      <c r="P72" s="18">
        <f t="shared" si="21"/>
        <v>-48.662280044284742</v>
      </c>
      <c r="Q72" s="18">
        <f t="shared" si="22"/>
        <v>-114.38954849891147</v>
      </c>
      <c r="R72" s="18">
        <f t="shared" si="23"/>
        <v>-85.847361149268593</v>
      </c>
      <c r="S72" s="16"/>
    </row>
    <row r="73" spans="12:19" x14ac:dyDescent="0.25">
      <c r="L73">
        <f t="shared" si="11"/>
        <v>9.99</v>
      </c>
      <c r="M73">
        <f t="shared" si="18"/>
        <v>9</v>
      </c>
      <c r="N73" s="18">
        <f t="shared" si="19"/>
        <v>-83.906813436580123</v>
      </c>
      <c r="O73" s="18">
        <f t="shared" si="20"/>
        <v>-26.828966020636535</v>
      </c>
      <c r="P73" s="18">
        <f t="shared" si="21"/>
        <v>-48.662280044284742</v>
      </c>
      <c r="Q73" s="18">
        <f t="shared" si="22"/>
        <v>-114.38954849891147</v>
      </c>
      <c r="R73" s="18">
        <f t="shared" si="23"/>
        <v>-85.847361149268593</v>
      </c>
      <c r="S73" s="16"/>
    </row>
    <row r="74" spans="12:19" x14ac:dyDescent="0.25">
      <c r="L74">
        <f t="shared" si="11"/>
        <v>10</v>
      </c>
      <c r="M74">
        <f t="shared" si="18"/>
        <v>9</v>
      </c>
      <c r="N74" s="18">
        <f t="shared" si="19"/>
        <v>-83.906813436580123</v>
      </c>
      <c r="O74" s="18">
        <f t="shared" si="20"/>
        <v>-26.828966020636535</v>
      </c>
      <c r="P74" s="18">
        <f t="shared" si="21"/>
        <v>-48.662280044284742</v>
      </c>
      <c r="Q74" s="18">
        <f t="shared" si="22"/>
        <v>-114.38954849891147</v>
      </c>
      <c r="R74" s="18">
        <f t="shared" si="23"/>
        <v>-85.847361149268593</v>
      </c>
      <c r="S74" s="16"/>
    </row>
    <row r="75" spans="12:19" x14ac:dyDescent="0.25">
      <c r="L75">
        <f t="shared" si="11"/>
        <v>0.01</v>
      </c>
      <c r="M75">
        <f t="shared" ref="M75:M88" si="24">IF($F$11=0,M74,$M$74+($F$11-$M$74)/10*L75)</f>
        <v>9</v>
      </c>
      <c r="N75" s="18">
        <f t="shared" si="19"/>
        <v>-83.906813436580123</v>
      </c>
      <c r="O75" s="18">
        <f t="shared" si="20"/>
        <v>-26.828966020636535</v>
      </c>
      <c r="P75" s="18">
        <f t="shared" si="21"/>
        <v>-48.662280044284742</v>
      </c>
      <c r="Q75" s="18">
        <f t="shared" si="22"/>
        <v>-114.38954849891147</v>
      </c>
      <c r="R75" s="18">
        <f t="shared" si="23"/>
        <v>-85.847361149268593</v>
      </c>
      <c r="S75" s="16"/>
    </row>
    <row r="76" spans="12:19" x14ac:dyDescent="0.25">
      <c r="L76">
        <f t="shared" si="11"/>
        <v>0.5</v>
      </c>
      <c r="M76">
        <f t="shared" si="24"/>
        <v>9</v>
      </c>
      <c r="N76" s="18">
        <f t="shared" si="19"/>
        <v>-83.906813436580123</v>
      </c>
      <c r="O76" s="18">
        <f t="shared" si="20"/>
        <v>-26.828966020636535</v>
      </c>
      <c r="P76" s="18">
        <f t="shared" si="21"/>
        <v>-48.662280044284742</v>
      </c>
      <c r="Q76" s="18">
        <f t="shared" si="22"/>
        <v>-114.38954849891147</v>
      </c>
      <c r="R76" s="18">
        <f t="shared" si="23"/>
        <v>-85.847361149268593</v>
      </c>
      <c r="S76" s="16"/>
    </row>
    <row r="77" spans="12:19" x14ac:dyDescent="0.25">
      <c r="L77">
        <f t="shared" si="11"/>
        <v>1</v>
      </c>
      <c r="M77">
        <f t="shared" si="24"/>
        <v>9</v>
      </c>
      <c r="N77" s="18">
        <f t="shared" si="19"/>
        <v>-83.906813436580123</v>
      </c>
      <c r="O77" s="18">
        <f t="shared" si="20"/>
        <v>-26.828966020636535</v>
      </c>
      <c r="P77" s="18">
        <f t="shared" si="21"/>
        <v>-48.662280044284742</v>
      </c>
      <c r="Q77" s="18">
        <f t="shared" si="22"/>
        <v>-114.38954849891147</v>
      </c>
      <c r="R77" s="18">
        <f t="shared" si="23"/>
        <v>-85.847361149268593</v>
      </c>
      <c r="S77" s="16"/>
    </row>
    <row r="78" spans="12:19" x14ac:dyDescent="0.25">
      <c r="L78">
        <f t="shared" si="11"/>
        <v>2</v>
      </c>
      <c r="M78">
        <f t="shared" si="24"/>
        <v>9</v>
      </c>
      <c r="N78" s="18">
        <f t="shared" si="19"/>
        <v>-83.906813436580123</v>
      </c>
      <c r="O78" s="18">
        <f t="shared" si="20"/>
        <v>-26.828966020636535</v>
      </c>
      <c r="P78" s="18">
        <f t="shared" si="21"/>
        <v>-48.662280044284742</v>
      </c>
      <c r="Q78" s="18">
        <f t="shared" si="22"/>
        <v>-114.38954849891147</v>
      </c>
      <c r="R78" s="18">
        <f t="shared" si="23"/>
        <v>-85.847361149268593</v>
      </c>
      <c r="S78" s="16"/>
    </row>
    <row r="79" spans="12:19" x14ac:dyDescent="0.25">
      <c r="L79">
        <f t="shared" si="11"/>
        <v>3</v>
      </c>
      <c r="M79">
        <f t="shared" si="24"/>
        <v>9</v>
      </c>
      <c r="N79" s="18">
        <f t="shared" si="19"/>
        <v>-83.906813436580123</v>
      </c>
      <c r="O79" s="18">
        <f t="shared" si="20"/>
        <v>-26.828966020636535</v>
      </c>
      <c r="P79" s="18">
        <f t="shared" si="21"/>
        <v>-48.662280044284742</v>
      </c>
      <c r="Q79" s="18">
        <f t="shared" si="22"/>
        <v>-114.38954849891147</v>
      </c>
      <c r="R79" s="18">
        <f t="shared" si="23"/>
        <v>-85.847361149268593</v>
      </c>
      <c r="S79" s="16"/>
    </row>
    <row r="80" spans="12:19" x14ac:dyDescent="0.25">
      <c r="L80">
        <f t="shared" si="11"/>
        <v>4</v>
      </c>
      <c r="M80">
        <f t="shared" si="24"/>
        <v>9</v>
      </c>
      <c r="N80" s="18">
        <f t="shared" si="19"/>
        <v>-83.906813436580123</v>
      </c>
      <c r="O80" s="18">
        <f t="shared" si="20"/>
        <v>-26.828966020636535</v>
      </c>
      <c r="P80" s="18">
        <f t="shared" si="21"/>
        <v>-48.662280044284742</v>
      </c>
      <c r="Q80" s="18">
        <f t="shared" si="22"/>
        <v>-114.38954849891147</v>
      </c>
      <c r="R80" s="18">
        <f t="shared" si="23"/>
        <v>-85.847361149268593</v>
      </c>
      <c r="S80" s="16"/>
    </row>
    <row r="81" spans="12:19" x14ac:dyDescent="0.25">
      <c r="L81">
        <f t="shared" si="11"/>
        <v>5</v>
      </c>
      <c r="M81">
        <f t="shared" si="24"/>
        <v>9</v>
      </c>
      <c r="N81" s="18">
        <f t="shared" si="19"/>
        <v>-83.906813436580123</v>
      </c>
      <c r="O81" s="18">
        <f t="shared" si="20"/>
        <v>-26.828966020636535</v>
      </c>
      <c r="P81" s="18">
        <f t="shared" si="21"/>
        <v>-48.662280044284742</v>
      </c>
      <c r="Q81" s="18">
        <f t="shared" si="22"/>
        <v>-114.38954849891147</v>
      </c>
      <c r="R81" s="18">
        <f t="shared" si="23"/>
        <v>-85.847361149268593</v>
      </c>
      <c r="S81" s="16"/>
    </row>
    <row r="82" spans="12:19" x14ac:dyDescent="0.25">
      <c r="L82">
        <f t="shared" si="11"/>
        <v>6</v>
      </c>
      <c r="M82">
        <f t="shared" si="24"/>
        <v>9</v>
      </c>
      <c r="N82" s="18">
        <f t="shared" si="19"/>
        <v>-83.906813436580123</v>
      </c>
      <c r="O82" s="18">
        <f t="shared" si="20"/>
        <v>-26.828966020636535</v>
      </c>
      <c r="P82" s="18">
        <f t="shared" si="21"/>
        <v>-48.662280044284742</v>
      </c>
      <c r="Q82" s="18">
        <f t="shared" si="22"/>
        <v>-114.38954849891147</v>
      </c>
      <c r="R82" s="18">
        <f t="shared" si="23"/>
        <v>-85.847361149268593</v>
      </c>
      <c r="S82" s="16"/>
    </row>
    <row r="83" spans="12:19" x14ac:dyDescent="0.25">
      <c r="L83">
        <f t="shared" si="11"/>
        <v>7</v>
      </c>
      <c r="M83">
        <f t="shared" si="24"/>
        <v>9</v>
      </c>
      <c r="N83" s="18">
        <f t="shared" si="19"/>
        <v>-83.906813436580123</v>
      </c>
      <c r="O83" s="18">
        <f t="shared" si="20"/>
        <v>-26.828966020636535</v>
      </c>
      <c r="P83" s="18">
        <f t="shared" si="21"/>
        <v>-48.662280044284742</v>
      </c>
      <c r="Q83" s="18">
        <f t="shared" si="22"/>
        <v>-114.38954849891147</v>
      </c>
      <c r="R83" s="18">
        <f t="shared" si="23"/>
        <v>-85.847361149268593</v>
      </c>
      <c r="S83" s="16"/>
    </row>
    <row r="84" spans="12:19" x14ac:dyDescent="0.25">
      <c r="L84">
        <f t="shared" ref="L84:L88" si="25">L70</f>
        <v>8</v>
      </c>
      <c r="M84">
        <f t="shared" si="24"/>
        <v>9</v>
      </c>
      <c r="N84" s="18">
        <f t="shared" si="19"/>
        <v>-83.906813436580123</v>
      </c>
      <c r="O84" s="18">
        <f t="shared" si="20"/>
        <v>-26.828966020636535</v>
      </c>
      <c r="P84" s="18">
        <f t="shared" si="21"/>
        <v>-48.662280044284742</v>
      </c>
      <c r="Q84" s="18">
        <f t="shared" si="22"/>
        <v>-114.38954849891147</v>
      </c>
      <c r="R84" s="18">
        <f t="shared" si="23"/>
        <v>-85.847361149268593</v>
      </c>
      <c r="S84" s="16"/>
    </row>
    <row r="85" spans="12:19" x14ac:dyDescent="0.25">
      <c r="L85">
        <f t="shared" si="25"/>
        <v>9</v>
      </c>
      <c r="M85">
        <f t="shared" si="24"/>
        <v>9</v>
      </c>
      <c r="N85" s="18">
        <f t="shared" si="19"/>
        <v>-83.906813436580123</v>
      </c>
      <c r="O85" s="18">
        <f t="shared" si="20"/>
        <v>-26.828966020636535</v>
      </c>
      <c r="P85" s="18">
        <f t="shared" si="21"/>
        <v>-48.662280044284742</v>
      </c>
      <c r="Q85" s="18">
        <f t="shared" si="22"/>
        <v>-114.38954849891147</v>
      </c>
      <c r="R85" s="18">
        <f t="shared" si="23"/>
        <v>-85.847361149268593</v>
      </c>
      <c r="S85" s="16"/>
    </row>
    <row r="86" spans="12:19" x14ac:dyDescent="0.25">
      <c r="L86">
        <f t="shared" si="25"/>
        <v>9.5</v>
      </c>
      <c r="M86">
        <f t="shared" si="24"/>
        <v>9</v>
      </c>
      <c r="N86" s="18">
        <f t="shared" si="19"/>
        <v>-83.906813436580123</v>
      </c>
      <c r="O86" s="18">
        <f t="shared" si="20"/>
        <v>-26.828966020636535</v>
      </c>
      <c r="P86" s="18">
        <f t="shared" si="21"/>
        <v>-48.662280044284742</v>
      </c>
      <c r="Q86" s="18">
        <f t="shared" si="22"/>
        <v>-114.38954849891147</v>
      </c>
      <c r="R86" s="18">
        <f t="shared" si="23"/>
        <v>-85.847361149268593</v>
      </c>
      <c r="S86" s="16"/>
    </row>
    <row r="87" spans="12:19" x14ac:dyDescent="0.25">
      <c r="L87">
        <f t="shared" si="25"/>
        <v>9.99</v>
      </c>
      <c r="M87">
        <f t="shared" si="24"/>
        <v>9</v>
      </c>
      <c r="N87" s="18">
        <f t="shared" si="19"/>
        <v>-83.906813436580123</v>
      </c>
      <c r="O87" s="18">
        <f t="shared" si="20"/>
        <v>-26.828966020636535</v>
      </c>
      <c r="P87" s="18">
        <f t="shared" si="21"/>
        <v>-48.662280044284742</v>
      </c>
      <c r="Q87" s="18">
        <f t="shared" si="22"/>
        <v>-114.38954849891147</v>
      </c>
      <c r="R87" s="18">
        <f t="shared" si="23"/>
        <v>-85.847361149268593</v>
      </c>
      <c r="S87" s="16"/>
    </row>
    <row r="88" spans="12:19" x14ac:dyDescent="0.25">
      <c r="L88">
        <f t="shared" si="25"/>
        <v>10</v>
      </c>
      <c r="M88">
        <f t="shared" si="24"/>
        <v>9</v>
      </c>
      <c r="N88" s="18">
        <f t="shared" si="19"/>
        <v>-83.906813436580123</v>
      </c>
      <c r="O88" s="18">
        <f t="shared" si="20"/>
        <v>-26.828966020636535</v>
      </c>
      <c r="P88" s="18">
        <f t="shared" si="21"/>
        <v>-48.662280044284742</v>
      </c>
      <c r="Q88" s="18">
        <f t="shared" si="22"/>
        <v>-114.38954849891147</v>
      </c>
      <c r="R88" s="18">
        <f t="shared" si="23"/>
        <v>-85.847361149268593</v>
      </c>
      <c r="S88" s="16"/>
    </row>
    <row r="89" spans="12:19" x14ac:dyDescent="0.25">
      <c r="L89">
        <f>L75</f>
        <v>0.01</v>
      </c>
      <c r="M89">
        <f t="shared" ref="M89:M102" si="26">IF($F$12=0,M88,$M$88+($F$12-$M$88)/10*L89)</f>
        <v>9</v>
      </c>
      <c r="N89" s="18">
        <f t="shared" si="19"/>
        <v>-83.906813436580123</v>
      </c>
      <c r="O89" s="18">
        <f t="shared" si="20"/>
        <v>-26.828966020636535</v>
      </c>
      <c r="P89" s="18">
        <f t="shared" si="21"/>
        <v>-48.662280044284742</v>
      </c>
      <c r="Q89" s="18">
        <f t="shared" si="22"/>
        <v>-114.38954849891147</v>
      </c>
      <c r="R89" s="18">
        <f t="shared" si="23"/>
        <v>-85.847361149268593</v>
      </c>
      <c r="S89" s="16"/>
    </row>
    <row r="90" spans="12:19" x14ac:dyDescent="0.25">
      <c r="L90">
        <f t="shared" ref="L90:L116" si="27">L76</f>
        <v>0.5</v>
      </c>
      <c r="M90">
        <f t="shared" si="26"/>
        <v>9</v>
      </c>
      <c r="N90" s="18">
        <f t="shared" si="19"/>
        <v>-83.906813436580123</v>
      </c>
      <c r="O90" s="18">
        <f t="shared" si="20"/>
        <v>-26.828966020636535</v>
      </c>
      <c r="P90" s="18">
        <f t="shared" si="21"/>
        <v>-48.662280044284742</v>
      </c>
      <c r="Q90" s="18">
        <f t="shared" si="22"/>
        <v>-114.38954849891147</v>
      </c>
      <c r="R90" s="18">
        <f t="shared" si="23"/>
        <v>-85.847361149268593</v>
      </c>
      <c r="S90" s="16"/>
    </row>
    <row r="91" spans="12:19" x14ac:dyDescent="0.25">
      <c r="L91">
        <f t="shared" si="27"/>
        <v>1</v>
      </c>
      <c r="M91">
        <f t="shared" si="26"/>
        <v>9</v>
      </c>
      <c r="N91" s="18">
        <f t="shared" si="19"/>
        <v>-83.906813436580123</v>
      </c>
      <c r="O91" s="18">
        <f t="shared" si="20"/>
        <v>-26.828966020636535</v>
      </c>
      <c r="P91" s="18">
        <f t="shared" si="21"/>
        <v>-48.662280044284742</v>
      </c>
      <c r="Q91" s="18">
        <f t="shared" si="22"/>
        <v>-114.38954849891147</v>
      </c>
      <c r="R91" s="18">
        <f t="shared" si="23"/>
        <v>-85.847361149268593</v>
      </c>
      <c r="S91" s="16"/>
    </row>
    <row r="92" spans="12:19" x14ac:dyDescent="0.25">
      <c r="L92">
        <f t="shared" si="27"/>
        <v>2</v>
      </c>
      <c r="M92">
        <f t="shared" si="26"/>
        <v>9</v>
      </c>
      <c r="N92" s="18">
        <f t="shared" si="19"/>
        <v>-83.906813436580123</v>
      </c>
      <c r="O92" s="18">
        <f t="shared" si="20"/>
        <v>-26.828966020636535</v>
      </c>
      <c r="P92" s="18">
        <f t="shared" si="21"/>
        <v>-48.662280044284742</v>
      </c>
      <c r="Q92" s="18">
        <f t="shared" si="22"/>
        <v>-114.38954849891147</v>
      </c>
      <c r="R92" s="18">
        <f t="shared" si="23"/>
        <v>-85.847361149268593</v>
      </c>
      <c r="S92" s="16"/>
    </row>
    <row r="93" spans="12:19" x14ac:dyDescent="0.25">
      <c r="L93">
        <f t="shared" si="27"/>
        <v>3</v>
      </c>
      <c r="M93">
        <f t="shared" si="26"/>
        <v>9</v>
      </c>
      <c r="N93" s="18">
        <f t="shared" si="19"/>
        <v>-83.906813436580123</v>
      </c>
      <c r="O93" s="18">
        <f t="shared" si="20"/>
        <v>-26.828966020636535</v>
      </c>
      <c r="P93" s="18">
        <f t="shared" si="21"/>
        <v>-48.662280044284742</v>
      </c>
      <c r="Q93" s="18">
        <f t="shared" si="22"/>
        <v>-114.38954849891147</v>
      </c>
      <c r="R93" s="18">
        <f t="shared" si="23"/>
        <v>-85.847361149268593</v>
      </c>
      <c r="S93" s="16"/>
    </row>
    <row r="94" spans="12:19" x14ac:dyDescent="0.25">
      <c r="L94">
        <f t="shared" si="27"/>
        <v>4</v>
      </c>
      <c r="M94">
        <f t="shared" si="26"/>
        <v>9</v>
      </c>
      <c r="N94" s="18">
        <f t="shared" si="19"/>
        <v>-83.906813436580123</v>
      </c>
      <c r="O94" s="18">
        <f t="shared" si="20"/>
        <v>-26.828966020636535</v>
      </c>
      <c r="P94" s="18">
        <f t="shared" si="21"/>
        <v>-48.662280044284742</v>
      </c>
      <c r="Q94" s="18">
        <f t="shared" si="22"/>
        <v>-114.38954849891147</v>
      </c>
      <c r="R94" s="18">
        <f t="shared" si="23"/>
        <v>-85.847361149268593</v>
      </c>
      <c r="S94" s="16"/>
    </row>
    <row r="95" spans="12:19" x14ac:dyDescent="0.25">
      <c r="L95">
        <f t="shared" si="27"/>
        <v>5</v>
      </c>
      <c r="M95">
        <f t="shared" si="26"/>
        <v>9</v>
      </c>
      <c r="N95" s="18">
        <f t="shared" si="19"/>
        <v>-83.906813436580123</v>
      </c>
      <c r="O95" s="18">
        <f t="shared" si="20"/>
        <v>-26.828966020636535</v>
      </c>
      <c r="P95" s="18">
        <f t="shared" si="21"/>
        <v>-48.662280044284742</v>
      </c>
      <c r="Q95" s="18">
        <f t="shared" si="22"/>
        <v>-114.38954849891147</v>
      </c>
      <c r="R95" s="18">
        <f t="shared" si="23"/>
        <v>-85.847361149268593</v>
      </c>
      <c r="S95" s="16"/>
    </row>
    <row r="96" spans="12:19" x14ac:dyDescent="0.25">
      <c r="L96">
        <f t="shared" si="27"/>
        <v>6</v>
      </c>
      <c r="M96">
        <f t="shared" si="26"/>
        <v>9</v>
      </c>
      <c r="N96" s="18">
        <f t="shared" si="19"/>
        <v>-83.906813436580123</v>
      </c>
      <c r="O96" s="18">
        <f t="shared" si="20"/>
        <v>-26.828966020636535</v>
      </c>
      <c r="P96" s="18">
        <f t="shared" si="21"/>
        <v>-48.662280044284742</v>
      </c>
      <c r="Q96" s="18">
        <f t="shared" si="22"/>
        <v>-114.38954849891147</v>
      </c>
      <c r="R96" s="18">
        <f t="shared" si="23"/>
        <v>-85.847361149268593</v>
      </c>
      <c r="S96" s="16"/>
    </row>
    <row r="97" spans="12:19" x14ac:dyDescent="0.25">
      <c r="L97">
        <f t="shared" si="27"/>
        <v>7</v>
      </c>
      <c r="M97">
        <f t="shared" si="26"/>
        <v>9</v>
      </c>
      <c r="N97" s="18">
        <f t="shared" si="19"/>
        <v>-83.906813436580123</v>
      </c>
      <c r="O97" s="18">
        <f t="shared" si="20"/>
        <v>-26.828966020636535</v>
      </c>
      <c r="P97" s="18">
        <f t="shared" si="21"/>
        <v>-48.662280044284742</v>
      </c>
      <c r="Q97" s="18">
        <f t="shared" si="22"/>
        <v>-114.38954849891147</v>
      </c>
      <c r="R97" s="18">
        <f t="shared" si="23"/>
        <v>-85.847361149268593</v>
      </c>
      <c r="S97" s="16"/>
    </row>
    <row r="98" spans="12:19" x14ac:dyDescent="0.25">
      <c r="L98">
        <f t="shared" si="27"/>
        <v>8</v>
      </c>
      <c r="M98">
        <f t="shared" si="26"/>
        <v>9</v>
      </c>
      <c r="N98" s="18">
        <f t="shared" si="19"/>
        <v>-83.906813436580123</v>
      </c>
      <c r="O98" s="18">
        <f t="shared" si="20"/>
        <v>-26.828966020636535</v>
      </c>
      <c r="P98" s="18">
        <f t="shared" si="21"/>
        <v>-48.662280044284742</v>
      </c>
      <c r="Q98" s="18">
        <f t="shared" si="22"/>
        <v>-114.38954849891147</v>
      </c>
      <c r="R98" s="18">
        <f t="shared" si="23"/>
        <v>-85.847361149268593</v>
      </c>
      <c r="S98" s="16"/>
    </row>
    <row r="99" spans="12:19" x14ac:dyDescent="0.25">
      <c r="L99">
        <f t="shared" si="27"/>
        <v>9</v>
      </c>
      <c r="M99">
        <f t="shared" si="26"/>
        <v>9</v>
      </c>
      <c r="N99" s="18">
        <f t="shared" si="19"/>
        <v>-83.906813436580123</v>
      </c>
      <c r="O99" s="18">
        <f t="shared" si="20"/>
        <v>-26.828966020636535</v>
      </c>
      <c r="P99" s="18">
        <f t="shared" si="21"/>
        <v>-48.662280044284742</v>
      </c>
      <c r="Q99" s="18">
        <f t="shared" si="22"/>
        <v>-114.38954849891147</v>
      </c>
      <c r="R99" s="18">
        <f t="shared" si="23"/>
        <v>-85.847361149268593</v>
      </c>
      <c r="S99" s="16"/>
    </row>
    <row r="100" spans="12:19" x14ac:dyDescent="0.25">
      <c r="L100">
        <f t="shared" si="27"/>
        <v>9.5</v>
      </c>
      <c r="M100">
        <f t="shared" si="26"/>
        <v>9</v>
      </c>
      <c r="N100" s="18">
        <f t="shared" si="19"/>
        <v>-83.906813436580123</v>
      </c>
      <c r="O100" s="18">
        <f t="shared" si="20"/>
        <v>-26.828966020636535</v>
      </c>
      <c r="P100" s="18">
        <f t="shared" si="21"/>
        <v>-48.662280044284742</v>
      </c>
      <c r="Q100" s="18">
        <f t="shared" si="22"/>
        <v>-114.38954849891147</v>
      </c>
      <c r="R100" s="18">
        <f t="shared" si="23"/>
        <v>-85.847361149268593</v>
      </c>
      <c r="S100" s="16"/>
    </row>
    <row r="101" spans="12:19" x14ac:dyDescent="0.25">
      <c r="L101">
        <f t="shared" si="27"/>
        <v>9.99</v>
      </c>
      <c r="M101">
        <f t="shared" si="26"/>
        <v>9</v>
      </c>
      <c r="N101" s="18">
        <f t="shared" si="19"/>
        <v>-83.906813436580123</v>
      </c>
      <c r="O101" s="18">
        <f t="shared" si="20"/>
        <v>-26.828966020636535</v>
      </c>
      <c r="P101" s="18">
        <f t="shared" si="21"/>
        <v>-48.662280044284742</v>
      </c>
      <c r="Q101" s="18">
        <f t="shared" si="22"/>
        <v>-114.38954849891147</v>
      </c>
      <c r="R101" s="18">
        <f t="shared" si="23"/>
        <v>-85.847361149268593</v>
      </c>
      <c r="S101" s="16"/>
    </row>
    <row r="102" spans="12:19" x14ac:dyDescent="0.25">
      <c r="L102">
        <f t="shared" si="27"/>
        <v>10</v>
      </c>
      <c r="M102">
        <f t="shared" si="26"/>
        <v>9</v>
      </c>
      <c r="N102" s="18">
        <f t="shared" si="19"/>
        <v>-83.906813436580123</v>
      </c>
      <c r="O102" s="18">
        <f t="shared" si="20"/>
        <v>-26.828966020636535</v>
      </c>
      <c r="P102" s="18">
        <f t="shared" si="21"/>
        <v>-48.662280044284742</v>
      </c>
      <c r="Q102" s="18">
        <f t="shared" si="22"/>
        <v>-114.38954849891147</v>
      </c>
      <c r="R102" s="18">
        <f t="shared" si="23"/>
        <v>-85.847361149268593</v>
      </c>
      <c r="S102" s="16"/>
    </row>
    <row r="103" spans="12:19" x14ac:dyDescent="0.25">
      <c r="L103">
        <f>L89</f>
        <v>0.01</v>
      </c>
      <c r="M103">
        <f t="shared" ref="M103:M116" si="28">IF($F$12=0,$M$102+($B$4-$M$102)/10*L103,$M$102+($B$4-$M$102)/10*L103)</f>
        <v>9.0009999999999994</v>
      </c>
      <c r="N103" s="18">
        <f t="shared" si="19"/>
        <v>-83.743589248952389</v>
      </c>
      <c r="O103" s="18">
        <f t="shared" si="20"/>
        <v>-26.774933949812201</v>
      </c>
      <c r="P103" s="18">
        <f t="shared" si="21"/>
        <v>-48.565702955341514</v>
      </c>
      <c r="Q103" s="18">
        <f t="shared" si="22"/>
        <v>-114.16724803999692</v>
      </c>
      <c r="R103" s="18">
        <f t="shared" si="23"/>
        <v>-85.682570703602281</v>
      </c>
      <c r="S103" s="16"/>
    </row>
    <row r="104" spans="12:19" x14ac:dyDescent="0.25">
      <c r="L104">
        <f t="shared" si="27"/>
        <v>0.5</v>
      </c>
      <c r="M104">
        <f t="shared" si="28"/>
        <v>9.0500000000000007</v>
      </c>
      <c r="N104" s="18">
        <f t="shared" si="19"/>
        <v>-75.929389536671223</v>
      </c>
      <c r="O104" s="18">
        <f t="shared" si="20"/>
        <v>-24.194940183113559</v>
      </c>
      <c r="P104" s="18">
        <f t="shared" si="21"/>
        <v>-43.949173389657716</v>
      </c>
      <c r="Q104" s="18">
        <f t="shared" si="22"/>
        <v>-103.52401713262792</v>
      </c>
      <c r="R104" s="18">
        <f t="shared" si="23"/>
        <v>-77.78530530476165</v>
      </c>
      <c r="S104" s="16"/>
    </row>
    <row r="105" spans="12:19" x14ac:dyDescent="0.25">
      <c r="L105">
        <f t="shared" si="27"/>
        <v>1</v>
      </c>
      <c r="M105">
        <f t="shared" si="28"/>
        <v>9.1</v>
      </c>
      <c r="N105" s="18">
        <f t="shared" si="19"/>
        <v>-68.329394670527194</v>
      </c>
      <c r="O105" s="18">
        <f t="shared" si="20"/>
        <v>-21.698667540290025</v>
      </c>
      <c r="P105" s="18">
        <f t="shared" si="21"/>
        <v>-39.472703413846126</v>
      </c>
      <c r="Q105" s="18">
        <f t="shared" si="22"/>
        <v>-93.170975147823739</v>
      </c>
      <c r="R105" s="18">
        <f t="shared" si="23"/>
        <v>-70.088933195685115</v>
      </c>
      <c r="S105" s="16"/>
    </row>
    <row r="106" spans="12:19" x14ac:dyDescent="0.25">
      <c r="L106">
        <f t="shared" si="27"/>
        <v>2</v>
      </c>
      <c r="M106">
        <f t="shared" si="28"/>
        <v>9.1999999999999993</v>
      </c>
      <c r="N106" s="18">
        <f t="shared" si="19"/>
        <v>-54.275837858684795</v>
      </c>
      <c r="O106" s="18">
        <f t="shared" si="20"/>
        <v>-17.118365676000327</v>
      </c>
      <c r="P106" s="18">
        <f t="shared" si="21"/>
        <v>-31.232119825269425</v>
      </c>
      <c r="Q106" s="18">
        <f t="shared" si="22"/>
        <v>-74.022311623044146</v>
      </c>
      <c r="R106" s="18">
        <f t="shared" si="23"/>
        <v>-55.81435657784801</v>
      </c>
      <c r="S106" s="16"/>
    </row>
    <row r="107" spans="12:19" x14ac:dyDescent="0.25">
      <c r="L107">
        <f t="shared" si="27"/>
        <v>3</v>
      </c>
      <c r="M107">
        <f t="shared" si="28"/>
        <v>9.3000000000000007</v>
      </c>
      <c r="N107" s="18">
        <f t="shared" si="19"/>
        <v>-41.77413247196565</v>
      </c>
      <c r="O107" s="18">
        <f t="shared" si="20"/>
        <v>-13.085932314129723</v>
      </c>
      <c r="P107" s="18">
        <f t="shared" si="21"/>
        <v>-23.945247549586611</v>
      </c>
      <c r="Q107" s="18">
        <f t="shared" si="22"/>
        <v>-56.983050482864172</v>
      </c>
      <c r="R107" s="18">
        <f t="shared" si="23"/>
        <v>-43.065553933803486</v>
      </c>
      <c r="S107" s="16"/>
    </row>
    <row r="108" spans="12:19" x14ac:dyDescent="0.25">
      <c r="L108">
        <f t="shared" si="27"/>
        <v>4</v>
      </c>
      <c r="M108">
        <f t="shared" si="28"/>
        <v>9.4</v>
      </c>
      <c r="N108" s="18">
        <f t="shared" si="19"/>
        <v>-30.851856662206117</v>
      </c>
      <c r="O108" s="18">
        <f t="shared" si="20"/>
        <v>-9.5991095393348616</v>
      </c>
      <c r="P108" s="18">
        <f t="shared" si="21"/>
        <v>-17.616568094837191</v>
      </c>
      <c r="Q108" s="18">
        <f t="shared" si="22"/>
        <v>-42.092123330465448</v>
      </c>
      <c r="R108" s="18">
        <f t="shared" si="23"/>
        <v>-31.884025011228985</v>
      </c>
      <c r="S108" s="16"/>
    </row>
    <row r="109" spans="12:19" x14ac:dyDescent="0.25">
      <c r="L109">
        <f t="shared" si="27"/>
        <v>5</v>
      </c>
      <c r="M109">
        <f t="shared" si="28"/>
        <v>9.5</v>
      </c>
      <c r="N109" s="18">
        <f t="shared" si="19"/>
        <v>-21.53627151995175</v>
      </c>
      <c r="O109" s="18">
        <f t="shared" si="20"/>
        <v>-6.6555400514984244</v>
      </c>
      <c r="P109" s="18">
        <f t="shared" si="21"/>
        <v>-12.250381160701286</v>
      </c>
      <c r="Q109" s="18">
        <f t="shared" si="22"/>
        <v>-29.38802928134514</v>
      </c>
      <c r="R109" s="18">
        <f t="shared" si="23"/>
        <v>-22.310942771416862</v>
      </c>
      <c r="S109" s="16"/>
    </row>
    <row r="110" spans="12:19" x14ac:dyDescent="0.25">
      <c r="L110">
        <f t="shared" si="27"/>
        <v>6</v>
      </c>
      <c r="M110">
        <f t="shared" si="28"/>
        <v>9.6</v>
      </c>
      <c r="N110" s="18">
        <f t="shared" si="19"/>
        <v>-13.854403420005195</v>
      </c>
      <c r="O110" s="18">
        <f t="shared" si="20"/>
        <v>-4.252793467590684</v>
      </c>
      <c r="P110" s="18">
        <f t="shared" si="21"/>
        <v>-7.850852366320149</v>
      </c>
      <c r="Q110" s="18">
        <f t="shared" si="22"/>
        <v>-18.908947227763331</v>
      </c>
      <c r="R110" s="18">
        <f t="shared" si="23"/>
        <v>-14.387237672716314</v>
      </c>
      <c r="S110" s="16"/>
    </row>
    <row r="111" spans="12:19" x14ac:dyDescent="0.25">
      <c r="L111">
        <f t="shared" si="27"/>
        <v>7</v>
      </c>
      <c r="M111">
        <f t="shared" si="28"/>
        <v>9.6999999999999993</v>
      </c>
      <c r="N111" s="18">
        <f t="shared" si="19"/>
        <v>-7.8331142490167327</v>
      </c>
      <c r="O111" s="18">
        <f t="shared" si="20"/>
        <v>-2.3883885262068012</v>
      </c>
      <c r="P111" s="18">
        <f t="shared" si="21"/>
        <v>-4.4220537188123057</v>
      </c>
      <c r="Q111" s="18">
        <f t="shared" si="22"/>
        <v>-10.692831609692796</v>
      </c>
      <c r="R111" s="18">
        <f t="shared" si="23"/>
        <v>-8.1536698227833497</v>
      </c>
      <c r="S111" s="16"/>
    </row>
    <row r="112" spans="12:19" x14ac:dyDescent="0.25">
      <c r="L112">
        <f t="shared" si="27"/>
        <v>8</v>
      </c>
      <c r="M112">
        <f t="shared" si="28"/>
        <v>9.8000000000000007</v>
      </c>
      <c r="N112" s="18">
        <f t="shared" si="19"/>
        <v>-3.4991593111878667</v>
      </c>
      <c r="O112" s="18">
        <f t="shared" si="20"/>
        <v>-1.059811213083085</v>
      </c>
      <c r="P112" s="18">
        <f t="shared" si="21"/>
        <v>-1.9679967910168306</v>
      </c>
      <c r="Q112" s="18">
        <f t="shared" si="22"/>
        <v>-4.7774914041936123</v>
      </c>
      <c r="R112" s="18">
        <f t="shared" si="23"/>
        <v>-3.6508886908369687</v>
      </c>
      <c r="S112" s="16"/>
    </row>
    <row r="113" spans="12:19" x14ac:dyDescent="0.25">
      <c r="L113">
        <f t="shared" si="27"/>
        <v>9</v>
      </c>
      <c r="M113">
        <f t="shared" si="28"/>
        <v>9.9</v>
      </c>
      <c r="N113" s="18">
        <f t="shared" si="19"/>
        <v>-0.87923270941335718</v>
      </c>
      <c r="O113" s="18">
        <f t="shared" si="20"/>
        <v>-0.26452882628438018</v>
      </c>
      <c r="P113" s="18">
        <f t="shared" si="21"/>
        <v>-0.49265857770970867</v>
      </c>
      <c r="Q113" s="18">
        <f t="shared" si="22"/>
        <v>-1.2006520468474531</v>
      </c>
      <c r="R113" s="18">
        <f t="shared" si="23"/>
        <v>-0.91948007241909435</v>
      </c>
      <c r="S113" s="16"/>
    </row>
    <row r="114" spans="12:19" x14ac:dyDescent="0.25">
      <c r="L114">
        <f t="shared" si="27"/>
        <v>9.5</v>
      </c>
      <c r="M114">
        <f t="shared" si="28"/>
        <v>9.9499999999999993</v>
      </c>
      <c r="N114" s="18">
        <f t="shared" si="19"/>
        <v>-0.22036350732875479</v>
      </c>
      <c r="O114" s="18">
        <f t="shared" si="20"/>
        <v>-6.6079200359536155E-2</v>
      </c>
      <c r="P114" s="18">
        <f t="shared" si="21"/>
        <v>-0.12324704998842607</v>
      </c>
      <c r="Q114" s="18">
        <f t="shared" si="22"/>
        <v>-0.3009478699072628</v>
      </c>
      <c r="R114" s="18">
        <f t="shared" si="23"/>
        <v>-0.23071472395432419</v>
      </c>
      <c r="S114" s="16"/>
    </row>
    <row r="115" spans="12:19" x14ac:dyDescent="0.25">
      <c r="L115">
        <f t="shared" si="27"/>
        <v>9.99</v>
      </c>
      <c r="M115">
        <f t="shared" si="28"/>
        <v>9.9990000000000006</v>
      </c>
      <c r="N115" s="18">
        <f t="shared" si="19"/>
        <v>-8.8363095055003142E-5</v>
      </c>
      <c r="O115" s="18">
        <f t="shared" si="20"/>
        <v>-2.6410906814757016E-5</v>
      </c>
      <c r="P115" s="18">
        <f t="shared" si="21"/>
        <v>-4.9331124821110512E-5</v>
      </c>
      <c r="Q115" s="18">
        <f t="shared" si="22"/>
        <v>-1.2068681213791718E-4</v>
      </c>
      <c r="R115" s="18">
        <f t="shared" si="23"/>
        <v>-9.2617016837954721E-5</v>
      </c>
      <c r="S115" s="16"/>
    </row>
    <row r="116" spans="12:19" x14ac:dyDescent="0.25">
      <c r="L116">
        <f t="shared" si="27"/>
        <v>10</v>
      </c>
      <c r="M116">
        <f t="shared" si="28"/>
        <v>10</v>
      </c>
      <c r="N116" s="18">
        <f t="shared" si="19"/>
        <v>-4.3477499310554143E-12</v>
      </c>
      <c r="O116" s="18">
        <f t="shared" si="20"/>
        <v>-5.5761028318046891E-12</v>
      </c>
      <c r="P116" s="18">
        <f t="shared" si="21"/>
        <v>-2.7209565095588965E-12</v>
      </c>
      <c r="Q116" s="18">
        <f t="shared" si="22"/>
        <v>-1.9101006710035258E-12</v>
      </c>
      <c r="R116" s="18">
        <f t="shared" si="23"/>
        <v>-4.2181654492181287E-12</v>
      </c>
    </row>
    <row r="761" spans="12:19" x14ac:dyDescent="0.25">
      <c r="L761" t="s">
        <v>45</v>
      </c>
      <c r="M761" t="s">
        <v>45</v>
      </c>
      <c r="N761" t="s">
        <v>45</v>
      </c>
      <c r="O761" t="s">
        <v>45</v>
      </c>
      <c r="P761" t="s">
        <v>45</v>
      </c>
      <c r="Q761" t="s">
        <v>45</v>
      </c>
      <c r="R761" t="s">
        <v>45</v>
      </c>
      <c r="S761" t="s">
        <v>45</v>
      </c>
    </row>
  </sheetData>
  <pageMargins left="0.7" right="0.7" top="0.78740157499999996" bottom="0.78740157499999996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2</vt:i4>
      </vt:variant>
    </vt:vector>
  </HeadingPairs>
  <TitlesOfParts>
    <vt:vector size="4" baseType="lpstr">
      <vt:lpstr>Vorlage</vt:lpstr>
      <vt:lpstr>Erweiterte Anwendung</vt:lpstr>
      <vt:lpstr>Vorlage!Druckbereich</vt:lpstr>
      <vt:lpstr>Vorlage!Suchkriterien</vt:lpstr>
    </vt:vector>
  </TitlesOfParts>
  <Company>Poyry Plc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Minder, Pascal</dc:creator>
  <cp:lastModifiedBy>Minder, Pascal</cp:lastModifiedBy>
  <dcterms:created xsi:type="dcterms:W3CDTF">2018-01-16T09:27:42Z</dcterms:created>
  <dcterms:modified xsi:type="dcterms:W3CDTF">2018-03-01T10:36:41Z</dcterms:modified>
</cp:coreProperties>
</file>