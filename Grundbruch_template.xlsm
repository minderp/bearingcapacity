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7315" windowHeight="14370" activeTab="1"/>
  </bookViews>
  <sheets>
    <sheet name="Streifenfundament" sheetId="4" r:id="rId1"/>
    <sheet name="Rechteckfundament" sheetId="1" r:id="rId2"/>
    <sheet name="Eigene Anwendung" sheetId="2" r:id="rId3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42" i="1" l="1"/>
  <c r="F15" i="4"/>
  <c r="B42" i="4"/>
  <c r="B37" i="4"/>
  <c r="K30" i="1"/>
  <c r="K35" i="1"/>
  <c r="K41" i="1"/>
  <c r="K35" i="4"/>
  <c r="K30" i="4"/>
  <c r="K41" i="4"/>
  <c r="B36" i="4"/>
  <c r="B44" i="4" s="1"/>
  <c r="F16" i="4" s="1"/>
  <c r="B37" i="1"/>
  <c r="B40" i="4"/>
  <c r="B39" i="4" s="1"/>
  <c r="B36" i="1"/>
  <c r="B40" i="1"/>
  <c r="B39" i="1" s="1"/>
  <c r="B44" i="1" l="1"/>
  <c r="F17" i="1" s="1"/>
  <c r="B43" i="1"/>
  <c r="F16" i="1" l="1"/>
  <c r="B45" i="1"/>
  <c r="F15" i="1" s="1"/>
  <c r="B20" i="1"/>
  <c r="K38" i="1" l="1"/>
  <c r="K39" i="1" s="1"/>
  <c r="J38" i="1"/>
  <c r="J39" i="1" s="1"/>
  <c r="K34" i="1"/>
  <c r="J34" i="1"/>
  <c r="J35" i="1" s="1"/>
  <c r="K32" i="1"/>
  <c r="K29" i="1"/>
  <c r="J29" i="1"/>
  <c r="J30" i="1" s="1"/>
  <c r="J28" i="1"/>
  <c r="J32" i="1" s="1"/>
  <c r="J38" i="4"/>
  <c r="J39" i="4" s="1"/>
  <c r="K38" i="4"/>
  <c r="K39" i="4" s="1"/>
  <c r="K34" i="4"/>
  <c r="K29" i="4"/>
  <c r="J41" i="4"/>
  <c r="J42" i="4" s="1"/>
  <c r="J34" i="4"/>
  <c r="J35" i="4" s="1"/>
  <c r="J29" i="4"/>
  <c r="J30" i="4" s="1"/>
  <c r="J28" i="4"/>
  <c r="J32" i="4" s="1"/>
  <c r="K32" i="4"/>
  <c r="L4" i="4"/>
  <c r="L4" i="1"/>
  <c r="B17" i="1"/>
  <c r="B17" i="4"/>
  <c r="J9" i="4"/>
  <c r="L11" i="4"/>
  <c r="C9" i="2"/>
  <c r="L18" i="4"/>
  <c r="L12" i="4"/>
  <c r="L17" i="4"/>
  <c r="C30" i="4"/>
  <c r="L7" i="4"/>
  <c r="J20" i="4"/>
  <c r="L16" i="4"/>
  <c r="J12" i="4"/>
  <c r="J17" i="1"/>
  <c r="J9" i="1"/>
  <c r="L12" i="1"/>
  <c r="C31" i="1"/>
  <c r="L10" i="1"/>
  <c r="L19" i="1"/>
  <c r="L13" i="1"/>
  <c r="L11" i="1"/>
  <c r="J10" i="4"/>
  <c r="C29" i="4"/>
  <c r="B20" i="4"/>
  <c r="L9" i="4"/>
  <c r="L20" i="1"/>
  <c r="J11" i="1"/>
  <c r="L8" i="1"/>
  <c r="L16" i="1"/>
  <c r="J18" i="1"/>
  <c r="J14" i="1"/>
  <c r="L9" i="1"/>
  <c r="J8" i="1"/>
  <c r="J12" i="1"/>
  <c r="J19" i="1"/>
  <c r="G1" i="4"/>
  <c r="J18" i="4"/>
  <c r="J16" i="4"/>
  <c r="J14" i="4"/>
  <c r="L8" i="4"/>
  <c r="J17" i="4"/>
  <c r="L19" i="4"/>
  <c r="J15" i="4"/>
  <c r="L20" i="4"/>
  <c r="J8" i="4"/>
  <c r="J19" i="4"/>
  <c r="B24" i="4"/>
  <c r="C31" i="4"/>
  <c r="L10" i="4"/>
  <c r="J13" i="1"/>
  <c r="J20" i="1"/>
  <c r="C29" i="1"/>
  <c r="L18" i="1"/>
  <c r="B24" i="1"/>
  <c r="L17" i="1"/>
  <c r="L15" i="1"/>
  <c r="L7" i="1"/>
  <c r="L14" i="4"/>
  <c r="J13" i="4"/>
  <c r="L15" i="4"/>
  <c r="J11" i="4"/>
  <c r="L13" i="4"/>
  <c r="J7" i="4"/>
  <c r="G1" i="1"/>
  <c r="J15" i="1"/>
  <c r="J7" i="1"/>
  <c r="C30" i="1"/>
  <c r="L14" i="1"/>
  <c r="J16" i="1"/>
  <c r="J10" i="1"/>
  <c r="B47" i="1" l="1"/>
  <c r="B43" i="4"/>
  <c r="B45" i="4" s="1"/>
  <c r="K42" i="4"/>
  <c r="B48" i="4"/>
  <c r="K31" i="1"/>
  <c r="J41" i="1"/>
  <c r="J42" i="1" s="1"/>
  <c r="J31" i="1"/>
  <c r="K31" i="4"/>
  <c r="K42" i="1"/>
  <c r="J31" i="4"/>
  <c r="M8" i="1"/>
  <c r="M21" i="4" l="1"/>
  <c r="K21" i="4"/>
  <c r="M21" i="1"/>
  <c r="B25" i="4" l="1"/>
  <c r="B21" i="4"/>
  <c r="M20" i="4"/>
  <c r="M10" i="4"/>
  <c r="M11" i="4"/>
  <c r="M12" i="4"/>
  <c r="M13" i="4"/>
  <c r="M14" i="4"/>
  <c r="M15" i="4"/>
  <c r="E24" i="4"/>
  <c r="K7" i="4"/>
  <c r="K8" i="4"/>
  <c r="K9" i="4"/>
  <c r="K20" i="4"/>
  <c r="K10" i="4"/>
  <c r="K11" i="4"/>
  <c r="K12" i="4"/>
  <c r="K13" i="4"/>
  <c r="K14" i="4"/>
  <c r="K15" i="4"/>
  <c r="M7" i="4"/>
  <c r="M8" i="4"/>
  <c r="M9" i="4"/>
  <c r="K16" i="4"/>
  <c r="K17" i="4"/>
  <c r="K18" i="4"/>
  <c r="K19" i="4"/>
  <c r="E20" i="4"/>
  <c r="M18" i="4" l="1"/>
  <c r="M17" i="4"/>
  <c r="M16" i="4"/>
  <c r="M19" i="4"/>
  <c r="E24" i="1"/>
  <c r="B25" i="1"/>
  <c r="E20" i="1" l="1"/>
  <c r="M7" i="1"/>
  <c r="M19" i="1"/>
  <c r="M15" i="1"/>
  <c r="M11" i="1"/>
  <c r="M18" i="1"/>
  <c r="M14" i="1"/>
  <c r="M10" i="1"/>
  <c r="M17" i="1"/>
  <c r="M13" i="1"/>
  <c r="M9" i="1"/>
  <c r="M20" i="1"/>
  <c r="M16" i="1"/>
  <c r="M12" i="1"/>
  <c r="K7" i="1"/>
  <c r="K9" i="1"/>
  <c r="K11" i="1"/>
  <c r="K13" i="1"/>
  <c r="K15" i="1"/>
  <c r="K17" i="1"/>
  <c r="K19" i="1"/>
  <c r="K8" i="1"/>
  <c r="K10" i="1"/>
  <c r="K12" i="1"/>
  <c r="K14" i="1"/>
  <c r="K16" i="1"/>
  <c r="K18" i="1"/>
  <c r="K20" i="1"/>
  <c r="B21" i="1" l="1"/>
</calcChain>
</file>

<file path=xl/comments1.xml><?xml version="1.0" encoding="utf-8"?>
<comments xmlns="http://schemas.openxmlformats.org/spreadsheetml/2006/main">
  <authors>
    <author>Minder, Pascal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E_Hd / E_Vd )*180/pi()
Die Lastneigung bezieht sich immer auf die Vertikale und nicht auf die Normale zur Fundamentsohle.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immer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E_Hd / E_Vd )*180/pi()
Die Lastneigung bezieht sich immer auf die Vertikale und nicht auf die Normale zur Fundamentsohle.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immer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</commentList>
</comments>
</file>

<file path=xl/sharedStrings.xml><?xml version="1.0" encoding="utf-8"?>
<sst xmlns="http://schemas.openxmlformats.org/spreadsheetml/2006/main" count="212" uniqueCount="88">
  <si>
    <t>Länge</t>
  </si>
  <si>
    <t>Breite</t>
  </si>
  <si>
    <t>RN,d</t>
  </si>
  <si>
    <t>kN</t>
  </si>
  <si>
    <t>kN/m3</t>
  </si>
  <si>
    <t>°</t>
  </si>
  <si>
    <t>kPa</t>
  </si>
  <si>
    <t>m</t>
  </si>
  <si>
    <t>Lastneigung</t>
  </si>
  <si>
    <t>Einbindetiefe</t>
  </si>
  <si>
    <t>RH,d</t>
  </si>
  <si>
    <t>Geometrie</t>
  </si>
  <si>
    <t>Exzentrizität B</t>
  </si>
  <si>
    <t>Exzentrizität L</t>
  </si>
  <si>
    <t>omega</t>
  </si>
  <si>
    <t>Einwirkung</t>
  </si>
  <si>
    <t>Resultat</t>
  </si>
  <si>
    <t>Streifenfundament</t>
  </si>
  <si>
    <t>Rechteckfundament</t>
  </si>
  <si>
    <r>
      <t>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</si>
  <si>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Optional</t>
  </si>
  <si>
    <t>Baugrund (charakteristisch)</t>
  </si>
  <si>
    <t>Fundament Neigung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</si>
  <si>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</si>
  <si>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</si>
  <si>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</si>
  <si>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</si>
  <si>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</si>
  <si>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q an Oberfläche</t>
  </si>
  <si>
    <t>kN/m'</t>
  </si>
  <si>
    <t>RN,k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</si>
  <si>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</si>
  <si>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</si>
  <si>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</si>
  <si>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</si>
  <si>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</si>
  <si>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</si>
  <si>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</si>
  <si>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f/FS=</t>
    </r>
  </si>
  <si>
    <t>FS =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</si>
  <si>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</si>
  <si>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</si>
  <si>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f/FS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</si>
  <si>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</si>
  <si>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</si>
  <si>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</si>
  <si>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</si>
  <si>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</si>
  <si>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</si>
  <si>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</si>
  <si>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</si>
  <si>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</si>
  <si>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</si>
  <si>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Diagramme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</si>
  <si>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</si>
  <si>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</si>
  <si>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</si>
  <si>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</si>
  <si>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</si>
  <si>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</si>
  <si>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</si>
  <si>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</si>
  <si>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</si>
  <si>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</si>
  <si>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</si>
  <si>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Anteil aus Gewicht</t>
  </si>
  <si>
    <t>Höhe</t>
  </si>
  <si>
    <t>&lt;= 1 oder 1.35</t>
  </si>
  <si>
    <t>&lt;= 1 oder 0</t>
  </si>
  <si>
    <t>My</t>
  </si>
  <si>
    <t>EdH2</t>
  </si>
  <si>
    <t>EVd2</t>
  </si>
  <si>
    <t>FS=</t>
  </si>
  <si>
    <t>Kpk</t>
  </si>
  <si>
    <t>Kak</t>
  </si>
  <si>
    <t>on/off</t>
  </si>
  <si>
    <t>Fz (ohne EG)</t>
  </si>
  <si>
    <t>Fh (ohne Erddruck)</t>
  </si>
  <si>
    <t>Eigengewicht</t>
  </si>
  <si>
    <t>Seitlicher Erddruck (Ep-Ea)</t>
  </si>
  <si>
    <t>&gt;übertragen</t>
  </si>
  <si>
    <t>Einwirkung (wird in Vorlage eventuell weggelassen)</t>
  </si>
  <si>
    <t>-&gt; für Moment</t>
  </si>
  <si>
    <t xml:space="preserve">FSglobal = </t>
  </si>
  <si>
    <t>-&gt;übertragen</t>
  </si>
  <si>
    <t>-&gt; für exzentrizität</t>
  </si>
  <si>
    <t>Mstütze</t>
  </si>
  <si>
    <t>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</si>
</sst>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</cellStyleXfs>
  <cellXfs count="27">
    <xf numFmtId="0" fontId="0" fillId="0" borderId="0" xfId="0"/>
    <xf numFmtId="1" fontId="0" fillId="0" borderId="0" xfId="0" applyNumberFormat="1"/>
    <xf numFmtId="0" fontId="1" fillId="2" borderId="1" xfId="1"/>
    <xf numFmtId="1" fontId="2" fillId="3" borderId="1" xfId="2" applyNumberFormat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1" fillId="2" borderId="1" xfId="1" applyNumberFormat="1"/>
    <xf numFmtId="164" fontId="0" fillId="0" borderId="0" xfId="0" applyNumberFormat="1"/>
    <xf numFmtId="0" fontId="6" fillId="0" borderId="0" xfId="0" applyFont="1" applyAlignment="1">
      <alignment horizontal="right"/>
    </xf>
    <xf numFmtId="0" fontId="1" fillId="2" borderId="1" xfId="1" applyAlignment="1">
      <alignment horizontal="left"/>
    </xf>
    <xf numFmtId="9" fontId="0" fillId="0" borderId="0" xfId="3" applyFont="1"/>
    <xf numFmtId="0" fontId="2" fillId="3" borderId="1" xfId="2"/>
    <xf numFmtId="0" fontId="0" fillId="0" borderId="0" xfId="0" quotePrefix="1"/>
    <xf numFmtId="165" fontId="0" fillId="0" borderId="0" xfId="0" applyNumberFormat="1"/>
    <xf numFmtId="0" fontId="0" fillId="8" borderId="0" xfId="0" applyFill="1"/>
    <xf numFmtId="165" fontId="1" fillId="2" borderId="1" xfId="1" applyNumberFormat="1"/>
    <xf numFmtId="2" fontId="1" fillId="2" borderId="1" xfId="1" applyNumberFormat="1"/>
  </cellXfs>
  <cellStyles count="4">
    <cellStyle name="Berechnung" xfId="2" builtinId="22"/>
    <cellStyle name="Eingabe" xfId="1" builtinId="20"/>
    <cellStyle name="Prozent" xfId="3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Streifenfundament!$J$4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Streifenfundament!$J$7:$J$22</c:f>
              <c:numCache>
                <c:formatCode>0</c:formatCode>
                <c:ptCount val="16"/>
                <c:pt idx="0">
                  <c:v>485.5755606812657</c:v>
                </c:pt>
                <c:pt idx="1">
                  <c:v>428.78996168408707</c:v>
                </c:pt>
                <c:pt idx="2">
                  <c:v>378.087948055764</c:v>
                </c:pt>
                <c:pt idx="3">
                  <c:v>332.71182435763654</c:v>
                </c:pt>
                <c:pt idx="4">
                  <c:v>292.02711947530696</c:v>
                </c:pt>
                <c:pt idx="5">
                  <c:v>255.50008488816317</c:v>
                </c:pt>
                <c:pt idx="6">
                  <c:v>222.67982623623237</c:v>
                </c:pt>
                <c:pt idx="7">
                  <c:v>193.18399564968334</c:v>
                </c:pt>
                <c:pt idx="8">
                  <c:v>166.68723454009395</c:v>
                </c:pt>
                <c:pt idx="9">
                  <c:v>142.91174715257384</c:v>
                </c:pt>
                <c:pt idx="10">
                  <c:v>121.6195242877881</c:v>
                </c:pt>
                <c:pt idx="11">
                  <c:v>85.693703906606018</c:v>
                </c:pt>
                <c:pt idx="12">
                  <c:v>57.576421126314642</c:v>
                </c:pt>
                <c:pt idx="13">
                  <c:v>36.234421886904414</c:v>
                </c:pt>
              </c:numCache>
            </c:numRef>
          </c:xVal>
          <c:yVal>
            <c:numRef>
              <c:f>Streifenfundament!$K$7:$K$22</c:f>
              <c:numCache>
                <c:formatCode>0</c:formatCode>
                <c:ptCount val="16"/>
                <c:pt idx="0">
                  <c:v>0</c:v>
                </c:pt>
                <c:pt idx="1">
                  <c:v>18.721374036832</c:v>
                </c:pt>
                <c:pt idx="2">
                  <c:v>33.078409270657772</c:v>
                </c:pt>
                <c:pt idx="3">
                  <c:v>43.802342653541814</c:v>
                </c:pt>
                <c:pt idx="4">
                  <c:v>51.492260262071049</c:v>
                </c:pt>
                <c:pt idx="5">
                  <c:v>56.643005124523839</c:v>
                </c:pt>
                <c:pt idx="6">
                  <c:v>59.666879610701194</c:v>
                </c:pt>
                <c:pt idx="7">
                  <c:v>60.910679859147976</c:v>
                </c:pt>
                <c:pt idx="8">
                  <c:v>60.669191804743413</c:v>
                </c:pt>
                <c:pt idx="9">
                  <c:v>59.195983893030629</c:v>
                </c:pt>
                <c:pt idx="10">
                  <c:v>56.71211555656344</c:v>
                </c:pt>
                <c:pt idx="11">
                  <c:v>49.47528301833507</c:v>
                </c:pt>
                <c:pt idx="12">
                  <c:v>40.315444095782297</c:v>
                </c:pt>
                <c:pt idx="13">
                  <c:v>30.404290041223454</c:v>
                </c:pt>
                <c:pt idx="14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</c:marker>
          <c:xVal>
            <c:numRef>
              <c:f>Streifenfundament!$B$20</c:f>
              <c:numCache>
                <c:formatCode>0</c:formatCode>
                <c:ptCount val="1"/>
                <c:pt idx="0">
                  <c:v>295.94897602856037</c:v>
                </c:pt>
              </c:numCache>
            </c:numRef>
          </c:xVal>
          <c:yVal>
            <c:numRef>
              <c:f>Streifenfundament!$B$21</c:f>
              <c:numCache>
                <c:formatCode>0</c:formatCode>
                <c:ptCount val="1"/>
                <c:pt idx="0">
                  <c:v>50.836749099163782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Streifenfundament!$L$4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5400">
              <a:prstDash val="sysDash"/>
            </a:ln>
          </c:spPr>
          <c:marker>
            <c:symbol val="none"/>
          </c:marker>
          <c:xVal>
            <c:numRef>
              <c:f>Streifenfundament!$L$7:$L$22</c:f>
              <c:numCache>
                <c:formatCode>0</c:formatCode>
                <c:ptCount val="16"/>
                <c:pt idx="0">
                  <c:v>469.05996538924967</c:v>
                </c:pt>
                <c:pt idx="1">
                  <c:v>413.5735479883291</c:v>
                </c:pt>
                <c:pt idx="2">
                  <c:v>364.08777712179068</c:v>
                </c:pt>
                <c:pt idx="3">
                  <c:v>319.85300349337041</c:v>
                </c:pt>
                <c:pt idx="4">
                  <c:v>280.2416616956703</c:v>
                </c:pt>
                <c:pt idx="5">
                  <c:v>244.72592241560568</c:v>
                </c:pt>
                <c:pt idx="6">
                  <c:v>212.85994857810499</c:v>
                </c:pt>
                <c:pt idx="7">
                  <c:v>184.26568799804375</c:v>
                </c:pt>
                <c:pt idx="8">
                  <c:v>158.62139625624684</c:v>
                </c:pt>
                <c:pt idx="9">
                  <c:v>135.65227328144422</c:v>
                </c:pt>
                <c:pt idx="10">
                  <c:v>115.12273560693197</c:v>
                </c:pt>
                <c:pt idx="11">
                  <c:v>80.598307598609694</c:v>
                </c:pt>
                <c:pt idx="12">
                  <c:v>53.723893426677549</c:v>
                </c:pt>
                <c:pt idx="13">
                  <c:v>33.467649462660951</c:v>
                </c:pt>
              </c:numCache>
            </c:numRef>
          </c:xVal>
          <c:yVal>
            <c:numRef>
              <c:f>Streifenfundament!$M$7:$M$22</c:f>
              <c:numCache>
                <c:formatCode>0</c:formatCode>
                <c:ptCount val="16"/>
                <c:pt idx="0">
                  <c:v>0</c:v>
                </c:pt>
                <c:pt idx="1">
                  <c:v>18.057011067189208</c:v>
                </c:pt>
                <c:pt idx="2">
                  <c:v>31.853553026509957</c:v>
                </c:pt>
                <c:pt idx="3">
                  <c:v>42.109446770732262</c:v>
                </c:pt>
                <c:pt idx="4">
                  <c:v>49.414166075520626</c:v>
                </c:pt>
                <c:pt idx="5">
                  <c:v>54.254430809909984</c:v>
                </c:pt>
                <c:pt idx="6">
                  <c:v>57.035651322433537</c:v>
                </c:pt>
                <c:pt idx="7">
                  <c:v>58.098748257735835</c:v>
                </c:pt>
                <c:pt idx="8">
                  <c:v>57.73346675501827</c:v>
                </c:pt>
                <c:pt idx="9">
                  <c:v>56.189011359915632</c:v>
                </c:pt>
                <c:pt idx="10">
                  <c:v>53.682613241265514</c:v>
                </c:pt>
                <c:pt idx="11">
                  <c:v>46.533454588285565</c:v>
                </c:pt>
                <c:pt idx="12">
                  <c:v>37.617875159334695</c:v>
                </c:pt>
                <c:pt idx="13">
                  <c:v>28.082692320489294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Streifenfundament!$A$13</c:f>
              <c:strCache>
                <c:ptCount val="1"/>
                <c:pt idx="0">
                  <c:v>Einwirkung</c:v>
                </c:pt>
              </c:strCache>
            </c:strRef>
          </c:tx>
          <c:marker>
            <c:symbol val="diamond"/>
            <c:size val="5"/>
          </c:marker>
          <c:xVal>
            <c:numRef>
              <c:f>Streifenfundament!$B$44</c:f>
              <c:numCache>
                <c:formatCode>0</c:formatCode>
                <c:ptCount val="1"/>
                <c:pt idx="0">
                  <c:v>250</c:v>
                </c:pt>
              </c:numCache>
            </c:numRef>
          </c:xVal>
          <c:yVal>
            <c:numRef>
              <c:f>Streifenfundament!$B$43</c:f>
              <c:numCache>
                <c:formatCode>0.0</c:formatCode>
                <c:ptCount val="1"/>
                <c:pt idx="0">
                  <c:v>42.943846082320803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367424"/>
        <c:axId val="443369344"/>
      </c:scatterChart>
      <c:valAx>
        <c:axId val="443367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(kN/m)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43369344"/>
        <c:crosses val="autoZero"/>
        <c:crossBetween val="midCat"/>
      </c:valAx>
      <c:valAx>
        <c:axId val="443369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(kN/m)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43367424"/>
        <c:crosses val="autoZero"/>
        <c:crossBetween val="midCat"/>
      </c:valAx>
    </c:plotArea>
    <c:legend>
      <c:legendPos val="b"/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Streifenfundament!$I$26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Streifenfundament!$J$28:$J$35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0.30470410261178615</c:v>
                </c:pt>
                <c:pt idx="7" formatCode="General">
                  <c:v>0.30470410261178615</c:v>
                </c:pt>
              </c:numCache>
            </c:numRef>
          </c:xVal>
          <c:yVal>
            <c:numRef>
              <c:f>Streifenfundament!$K$28:$K$35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0.5</c:v>
                </c:pt>
                <c:pt idx="3">
                  <c:v>0.5</c:v>
                </c:pt>
                <c:pt idx="4">
                  <c:v>0</c:v>
                </c:pt>
                <c:pt idx="6">
                  <c:v>-0.14189104477725104</c:v>
                </c:pt>
                <c:pt idx="7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Streifenfundament!$I$37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Streifenfundament!$J$38:$J$39</c:f>
              <c:numCache>
                <c:formatCode>General</c:formatCode>
                <c:ptCount val="2"/>
                <c:pt idx="0">
                  <c:v>-9.7647948694106923E-2</c:v>
                </c:pt>
                <c:pt idx="1">
                  <c:v>7.1647905418009278E-2</c:v>
                </c:pt>
              </c:numCache>
            </c:numRef>
          </c:xVal>
          <c:yVal>
            <c:numRef>
              <c:f>Streifenfundament!$K$38:$K$39</c:f>
              <c:numCache>
                <c:formatCode>General</c:formatCode>
                <c:ptCount val="2"/>
                <c:pt idx="0">
                  <c:v>-7.0945522388625518E-2</c:v>
                </c:pt>
                <c:pt idx="1">
                  <c:v>0.91461975387695449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Streifenfundament!$I$41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Streifenfundament!$J$41:$J$42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Streifenfundament!$K$41:$K$42</c:f>
              <c:numCache>
                <c:formatCode>General</c:formatCode>
                <c:ptCount val="2"/>
                <c:pt idx="0">
                  <c:v>0.25</c:v>
                </c:pt>
                <c:pt idx="1">
                  <c:v>0.14080892972013928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08768"/>
        <c:axId val="443410688"/>
      </c:scatterChart>
      <c:valAx>
        <c:axId val="443408768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443410688"/>
        <c:crossesAt val="0"/>
        <c:crossBetween val="midCat"/>
        <c:majorUnit val="0.2"/>
      </c:valAx>
      <c:valAx>
        <c:axId val="44341068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3408768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7206512902701324"/>
          <c:y val="5.6145406824146975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Rechteckfundament!$J$4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Rechteckfundament!$J$7:$J$20</c:f>
              <c:numCache>
                <c:formatCode>0</c:formatCode>
                <c:ptCount val="14"/>
                <c:pt idx="0">
                  <c:v>8079.9807499155731</c:v>
                </c:pt>
                <c:pt idx="1">
                  <c:v>7140.1089275305822</c:v>
                </c:pt>
                <c:pt idx="2">
                  <c:v>6288.9976461172118</c:v>
                </c:pt>
                <c:pt idx="3">
                  <c:v>5517.6861621636408</c:v>
                </c:pt>
                <c:pt idx="4">
                  <c:v>4818.5542382379199</c:v>
                </c:pt>
                <c:pt idx="5">
                  <c:v>4185.1072451369791</c:v>
                </c:pt>
                <c:pt idx="6">
                  <c:v>3611.7994677837182</c:v>
                </c:pt>
                <c:pt idx="7">
                  <c:v>3093.8870459209243</c:v>
                </c:pt>
                <c:pt idx="8">
                  <c:v>2627.3036474845676</c:v>
                </c:pt>
                <c:pt idx="9">
                  <c:v>2208.5531652191344</c:v>
                </c:pt>
                <c:pt idx="10">
                  <c:v>1834.6145581806168</c:v>
                </c:pt>
                <c:pt idx="11">
                  <c:v>1210.9440055861041</c:v>
                </c:pt>
                <c:pt idx="12">
                  <c:v>738.37397370535041</c:v>
                </c:pt>
                <c:pt idx="13">
                  <c:v>401.09359236396665</c:v>
                </c:pt>
              </c:numCache>
            </c:numRef>
          </c:xVal>
          <c:yVal>
            <c:numRef>
              <c:f>Rechteckfundament!$K$7:$K$20</c:f>
              <c:numCache>
                <c:formatCode>0</c:formatCode>
                <c:ptCount val="14"/>
                <c:pt idx="0">
                  <c:v>0</c:v>
                </c:pt>
                <c:pt idx="1">
                  <c:v>311.74388824547003</c:v>
                </c:pt>
                <c:pt idx="2">
                  <c:v>550.21599897647684</c:v>
                </c:pt>
                <c:pt idx="3">
                  <c:v>726.41716415225608</c:v>
                </c:pt>
                <c:pt idx="4">
                  <c:v>849.64112020846983</c:v>
                </c:pt>
                <c:pt idx="5">
                  <c:v>927.81593883516609</c:v>
                </c:pt>
                <c:pt idx="6">
                  <c:v>967.77875061580608</c:v>
                </c:pt>
                <c:pt idx="7">
                  <c:v>975.49883850724336</c:v>
                </c:pt>
                <c:pt idx="8">
                  <c:v>956.26032406340596</c:v>
                </c:pt>
                <c:pt idx="9">
                  <c:v>914.81267425579233</c:v>
                </c:pt>
                <c:pt idx="10">
                  <c:v>855.49481824227075</c:v>
                </c:pt>
                <c:pt idx="11">
                  <c:v>699.13884759870086</c:v>
                </c:pt>
                <c:pt idx="12">
                  <c:v>517.01502240634431</c:v>
                </c:pt>
                <c:pt idx="13">
                  <c:v>336.55748542017466</c:v>
                </c:pt>
              </c:numCache>
            </c:numRef>
          </c:yVal>
          <c:smooth val="1"/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</c:marker>
          <c:xVal>
            <c:numRef>
              <c:f>Rechteckfundament!$B$20</c:f>
              <c:numCache>
                <c:formatCode>0</c:formatCode>
                <c:ptCount val="1"/>
                <c:pt idx="0">
                  <c:v>5692.5294547257181</c:v>
                </c:pt>
              </c:numCache>
            </c:numRef>
          </c:xVal>
          <c:yVal>
            <c:numRef>
              <c:f>Rechteckfundament!$B$21</c:f>
              <c:numCache>
                <c:formatCode>0</c:formatCode>
                <c:ptCount val="1"/>
                <c:pt idx="0">
                  <c:v>690.01939620450992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Rechteckfundament!$L$4:$M$4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Rechteckfundament!$L$7:$L$21</c:f>
              <c:numCache>
                <c:formatCode>0</c:formatCode>
                <c:ptCount val="15"/>
                <c:pt idx="0">
                  <c:v>6614.2964971927586</c:v>
                </c:pt>
                <c:pt idx="1">
                  <c:v>5831.9039492146749</c:v>
                </c:pt>
                <c:pt idx="2">
                  <c:v>5124.8223642916637</c:v>
                </c:pt>
                <c:pt idx="3">
                  <c:v>4485.3919422763547</c:v>
                </c:pt>
                <c:pt idx="4">
                  <c:v>3907.0972428348068</c:v>
                </c:pt>
                <c:pt idx="5">
                  <c:v>3384.3819907872739</c:v>
                </c:pt>
                <c:pt idx="6">
                  <c:v>2912.49668962434</c:v>
                </c:pt>
                <c:pt idx="7">
                  <c:v>2487.3716451478263</c:v>
                </c:pt>
                <c:pt idx="8">
                  <c:v>2105.5094476828008</c:v>
                </c:pt>
                <c:pt idx="9">
                  <c:v>1763.8920019265081</c:v>
                </c:pt>
                <c:pt idx="10">
                  <c:v>1459.8979285864987</c:v>
                </c:pt>
                <c:pt idx="11">
                  <c:v>955.82601647867875</c:v>
                </c:pt>
                <c:pt idx="12">
                  <c:v>577.43472298321319</c:v>
                </c:pt>
                <c:pt idx="13">
                  <c:v>310.4664536949598</c:v>
                </c:pt>
              </c:numCache>
            </c:numRef>
          </c:xVal>
          <c:yVal>
            <c:numRef>
              <c:f>Rechteckfundament!$M$7:$M$21</c:f>
              <c:numCache>
                <c:formatCode>0</c:formatCode>
                <c:ptCount val="15"/>
                <c:pt idx="0">
                  <c:v>0</c:v>
                </c:pt>
                <c:pt idx="1">
                  <c:v>254.62642537458794</c:v>
                </c:pt>
                <c:pt idx="2">
                  <c:v>448.36385945964372</c:v>
                </c:pt>
                <c:pt idx="3">
                  <c:v>590.51305185906256</c:v>
                </c:pt>
                <c:pt idx="4">
                  <c:v>688.92666016342969</c:v>
                </c:pt>
                <c:pt idx="5">
                  <c:v>750.299423702426</c:v>
                </c:pt>
                <c:pt idx="6">
                  <c:v>780.40113594316006</c:v>
                </c:pt>
                <c:pt idx="7">
                  <c:v>784.2652672070343</c:v>
                </c:pt>
                <c:pt idx="8">
                  <c:v>766.34276692281128</c:v>
                </c:pt>
                <c:pt idx="9">
                  <c:v>730.62798975938915</c:v>
                </c:pt>
                <c:pt idx="10">
                  <c:v>680.76158422450351</c:v>
                </c:pt>
                <c:pt idx="11">
                  <c:v>551.84640791241281</c:v>
                </c:pt>
                <c:pt idx="12">
                  <c:v>404.32414585688139</c:v>
                </c:pt>
                <c:pt idx="13">
                  <c:v>260.51228678835884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Rechteckfundament!$A$33</c:f>
              <c:strCache>
                <c:ptCount val="1"/>
                <c:pt idx="0">
                  <c:v>Einwirkung (wird in Vorlage eventuell weggelassen)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Rechteckfundament!$B$44</c:f>
              <c:numCache>
                <c:formatCode>0</c:formatCode>
                <c:ptCount val="1"/>
                <c:pt idx="0">
                  <c:v>3992.0834375000004</c:v>
                </c:pt>
              </c:numCache>
            </c:numRef>
          </c:xVal>
          <c:yVal>
            <c:numRef>
              <c:f>Rechteckfundament!$B$43</c:f>
              <c:numCache>
                <c:formatCode>0.0</c:formatCode>
                <c:ptCount val="1"/>
                <c:pt idx="0">
                  <c:v>483.9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71680"/>
        <c:axId val="445673856"/>
      </c:scatterChart>
      <c:valAx>
        <c:axId val="445671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5673856"/>
        <c:crosses val="autoZero"/>
        <c:crossBetween val="midCat"/>
      </c:valAx>
      <c:valAx>
        <c:axId val="445673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5671680"/>
        <c:crosses val="autoZero"/>
        <c:crossBetween val="midCat"/>
      </c:valAx>
    </c:plotArea>
    <c:legend>
      <c:legendPos val="b"/>
      <c:legendEntry>
        <c:idx val="1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Rechteckfundament!$I$26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Rechteckfundament!$J$28:$J$35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0.23314391310091892</c:v>
                </c:pt>
                <c:pt idx="7" formatCode="General">
                  <c:v>0.23314391310091892</c:v>
                </c:pt>
              </c:numCache>
            </c:numRef>
          </c:xVal>
          <c:yVal>
            <c:numRef>
              <c:f>Rechteckfundament!$K$28:$K$35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</c:v>
                </c:pt>
                <c:pt idx="6">
                  <c:v>0</c:v>
                </c:pt>
                <c:pt idx="7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Rechteckfundament!$I$37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Rechteckfundament!$J$38:$J$39</c:f>
              <c:numCache>
                <c:formatCode>General</c:formatCode>
                <c:ptCount val="2"/>
                <c:pt idx="0">
                  <c:v>-0.13342804344954051</c:v>
                </c:pt>
                <c:pt idx="1">
                  <c:v>-1.3093955971852325E-2</c:v>
                </c:pt>
              </c:numCache>
            </c:numRef>
          </c:xVal>
          <c:yVal>
            <c:numRef>
              <c:f>Rechteckfundament!$K$38:$K$39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0.99273345233799393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Rechteckfundament!$I$41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Rechteckfundament!$J$41:$J$42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Rechteckfundament!$K$41:$K$42</c:f>
              <c:numCache>
                <c:formatCode>General</c:formatCode>
                <c:ptCount val="2"/>
                <c:pt idx="0">
                  <c:v>0.4705882352941177</c:v>
                </c:pt>
                <c:pt idx="1">
                  <c:v>0.4705882352941177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79264"/>
        <c:axId val="445981440"/>
      </c:scatterChart>
      <c:valAx>
        <c:axId val="445979264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45981440"/>
        <c:crossesAt val="0"/>
        <c:crossBetween val="midCat"/>
        <c:majorUnit val="0.2"/>
      </c:valAx>
      <c:valAx>
        <c:axId val="445981440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5979264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14</xdr:col>
      <xdr:colOff>0</xdr:colOff>
      <xdr:row>42</xdr:row>
      <xdr:rowOff>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14</xdr:col>
      <xdr:colOff>0</xdr:colOff>
      <xdr:row>42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34</xdr:row>
      <xdr:rowOff>28575</xdr:rowOff>
    </xdr:from>
    <xdr:to>
      <xdr:col>2</xdr:col>
      <xdr:colOff>351733</xdr:colOff>
      <xdr:row>48</xdr:row>
      <xdr:rowOff>18718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" y="6505575"/>
          <a:ext cx="5542858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M48"/>
  <sheetViews>
    <sheetView workbookViewId="0">
      <selection activeCell="E6" sqref="E6"/>
    </sheetView>
  </sheetViews>
  <sheetFormatPr baseColWidth="10" defaultRowHeight="15" x14ac:dyDescent="0.25"/>
  <cols>
    <col min="1" max="1" width="16" customWidth="1"/>
    <col min="2" max="3" width="12.42578125" customWidth="1"/>
    <col min="7" max="7" width="6.85546875" customWidth="1"/>
    <col min="8" max="8" width="5.85546875" customWidth="1"/>
    <col min="9" max="12" width="10.42578125" customWidth="1"/>
  </cols>
  <sheetData>
    <row r="1" spans="1:13" x14ac:dyDescent="0.25">
      <c r="A1" s="4" t="s">
        <v>17</v>
      </c>
      <c r="G1" s="15" t="str">
        <f>VersionG()</f>
        <v>Version 0.03, 2018-01-18</v>
      </c>
    </row>
    <row r="2" spans="1:13" x14ac:dyDescent="0.25">
      <c r="I2" t="s">
        <v>53</v>
      </c>
    </row>
    <row r="3" spans="1:13" x14ac:dyDescent="0.25">
      <c r="A3" s="8" t="s">
        <v>11</v>
      </c>
      <c r="B3" s="9"/>
      <c r="C3" s="9"/>
      <c r="D3" s="9"/>
      <c r="E3" s="9"/>
      <c r="F3" s="9"/>
      <c r="G3" s="9"/>
      <c r="J3" t="s">
        <v>35</v>
      </c>
      <c r="L3" t="s">
        <v>36</v>
      </c>
    </row>
    <row r="4" spans="1:13" x14ac:dyDescent="0.25">
      <c r="A4" t="s">
        <v>1</v>
      </c>
      <c r="B4" s="2">
        <v>2</v>
      </c>
      <c r="C4" t="s">
        <v>7</v>
      </c>
      <c r="D4" t="s">
        <v>20</v>
      </c>
      <c r="J4" s="1" t="s">
        <v>34</v>
      </c>
      <c r="K4" s="1"/>
      <c r="L4" t="str">
        <f>"Globale Sicherheit (FS="&amp;E23&amp;")"</f>
        <v>Globale Sicherheit (FS=2)</v>
      </c>
    </row>
    <row r="5" spans="1:13" x14ac:dyDescent="0.25">
      <c r="A5" t="s">
        <v>66</v>
      </c>
      <c r="B5">
        <v>1</v>
      </c>
      <c r="C5" t="s">
        <v>7</v>
      </c>
      <c r="D5" t="s">
        <v>22</v>
      </c>
      <c r="F5" s="2">
        <v>10</v>
      </c>
      <c r="G5" t="s">
        <v>5</v>
      </c>
      <c r="I5" t="s">
        <v>14</v>
      </c>
      <c r="J5" t="s">
        <v>2</v>
      </c>
      <c r="K5" t="s">
        <v>10</v>
      </c>
      <c r="L5" t="s">
        <v>32</v>
      </c>
      <c r="M5" t="s">
        <v>33</v>
      </c>
    </row>
    <row r="6" spans="1:13" x14ac:dyDescent="0.25">
      <c r="I6" t="s">
        <v>5</v>
      </c>
      <c r="J6" t="s">
        <v>3</v>
      </c>
      <c r="K6" t="s">
        <v>3</v>
      </c>
      <c r="L6" t="s">
        <v>3</v>
      </c>
      <c r="M6" t="s">
        <v>3</v>
      </c>
    </row>
    <row r="7" spans="1:13" x14ac:dyDescent="0.25">
      <c r="I7">
        <v>0</v>
      </c>
      <c r="J7" s="1">
        <f t="shared" ref="J7:J20" si="0">Grundbruch_Streifen($B$9,$B$10,$B$11,$B$17,$B$16,$B$4,I7,$F$16,$F$10,$F$5,$F$17)</f>
        <v>485.5755606812657</v>
      </c>
      <c r="K7" s="1">
        <f>J7*TAN(I7/180*PI())</f>
        <v>0</v>
      </c>
      <c r="L7" s="1">
        <f t="shared" ref="L7:L20" si="1">Grundbruch_Streifen($B$9,ATAN(TAN($B$10/180*PI())*1.2)*180/PI(),$B$11,$B$17,$B$16,$B$4,I7,$F$16,$F$10,$F$5,$F$17)/$E$23</f>
        <v>469.05996538924967</v>
      </c>
      <c r="M7" s="1">
        <f>L7*TAN(I7/180*PI())</f>
        <v>0</v>
      </c>
    </row>
    <row r="8" spans="1:13" x14ac:dyDescent="0.25">
      <c r="A8" s="10" t="s">
        <v>21</v>
      </c>
      <c r="B8" s="11"/>
      <c r="C8" s="11"/>
      <c r="D8" s="11"/>
      <c r="E8" s="11"/>
      <c r="F8" s="11"/>
      <c r="G8" s="11"/>
      <c r="I8">
        <v>2.5</v>
      </c>
      <c r="J8" s="1">
        <f t="shared" si="0"/>
        <v>428.78996168408707</v>
      </c>
      <c r="K8" s="1">
        <f t="shared" ref="K8:K21" si="2">J8*TAN(I8/180*PI())</f>
        <v>18.721374036832</v>
      </c>
      <c r="L8" s="1">
        <f t="shared" si="1"/>
        <v>413.5735479883291</v>
      </c>
      <c r="M8" s="1">
        <f t="shared" ref="M8:M21" si="3">L8*TAN(I8/180*PI())</f>
        <v>18.057011067189208</v>
      </c>
    </row>
    <row r="9" spans="1:13" x14ac:dyDescent="0.25">
      <c r="A9" t="s">
        <v>25</v>
      </c>
      <c r="B9" s="2">
        <v>0</v>
      </c>
      <c r="C9" t="s">
        <v>6</v>
      </c>
      <c r="D9" t="s">
        <v>20</v>
      </c>
      <c r="I9">
        <v>5</v>
      </c>
      <c r="J9" s="1">
        <f t="shared" si="0"/>
        <v>378.087948055764</v>
      </c>
      <c r="K9" s="1">
        <f t="shared" si="2"/>
        <v>33.078409270657772</v>
      </c>
      <c r="L9" s="1">
        <f t="shared" si="1"/>
        <v>364.08777712179068</v>
      </c>
      <c r="M9" s="1">
        <f t="shared" si="3"/>
        <v>31.853553026509957</v>
      </c>
    </row>
    <row r="10" spans="1:13" x14ac:dyDescent="0.25">
      <c r="A10" s="5" t="s">
        <v>24</v>
      </c>
      <c r="B10" s="16">
        <v>36</v>
      </c>
      <c r="C10" t="s">
        <v>5</v>
      </c>
      <c r="D10" t="s">
        <v>23</v>
      </c>
      <c r="F10" s="2">
        <v>20</v>
      </c>
      <c r="G10" t="s">
        <v>5</v>
      </c>
      <c r="I10">
        <v>7.5</v>
      </c>
      <c r="J10" s="1">
        <f t="shared" si="0"/>
        <v>332.71182435763654</v>
      </c>
      <c r="K10" s="1">
        <f t="shared" si="2"/>
        <v>43.802342653541814</v>
      </c>
      <c r="L10" s="1">
        <f t="shared" si="1"/>
        <v>319.85300349337041</v>
      </c>
      <c r="M10" s="1">
        <f t="shared" si="3"/>
        <v>42.109446770732262</v>
      </c>
    </row>
    <row r="11" spans="1:13" x14ac:dyDescent="0.25">
      <c r="A11" s="7" t="s">
        <v>26</v>
      </c>
      <c r="B11" s="2">
        <v>22</v>
      </c>
      <c r="C11" t="s">
        <v>4</v>
      </c>
      <c r="I11">
        <v>10</v>
      </c>
      <c r="J11" s="1">
        <f t="shared" si="0"/>
        <v>292.02711947530696</v>
      </c>
      <c r="K11" s="1">
        <f t="shared" si="2"/>
        <v>51.492260262071049</v>
      </c>
      <c r="L11" s="1">
        <f t="shared" si="1"/>
        <v>280.2416616956703</v>
      </c>
      <c r="M11" s="1">
        <f t="shared" si="3"/>
        <v>49.414166075520626</v>
      </c>
    </row>
    <row r="12" spans="1:13" x14ac:dyDescent="0.25">
      <c r="I12">
        <v>12.5</v>
      </c>
      <c r="J12" s="1">
        <f t="shared" si="0"/>
        <v>255.50008488816317</v>
      </c>
      <c r="K12" s="1">
        <f t="shared" si="2"/>
        <v>56.643005124523839</v>
      </c>
      <c r="L12" s="1">
        <f t="shared" si="1"/>
        <v>244.72592241560568</v>
      </c>
      <c r="M12" s="1">
        <f t="shared" si="3"/>
        <v>54.254430809909984</v>
      </c>
    </row>
    <row r="13" spans="1:13" x14ac:dyDescent="0.25">
      <c r="A13" s="12" t="s">
        <v>15</v>
      </c>
      <c r="B13" s="13"/>
      <c r="C13" s="13"/>
      <c r="D13" s="13"/>
      <c r="E13" s="13"/>
      <c r="F13" s="13"/>
      <c r="G13" s="13"/>
      <c r="I13">
        <v>15</v>
      </c>
      <c r="J13" s="1">
        <f t="shared" si="0"/>
        <v>222.67982623623237</v>
      </c>
      <c r="K13" s="1">
        <f t="shared" si="2"/>
        <v>59.666879610701194</v>
      </c>
      <c r="L13" s="1">
        <f t="shared" si="1"/>
        <v>212.85994857810499</v>
      </c>
      <c r="M13" s="1">
        <f t="shared" si="3"/>
        <v>57.035651322433537</v>
      </c>
    </row>
    <row r="14" spans="1:13" x14ac:dyDescent="0.25">
      <c r="A14" t="s">
        <v>27</v>
      </c>
      <c r="D14" t="s">
        <v>20</v>
      </c>
      <c r="I14">
        <v>17.5</v>
      </c>
      <c r="J14" s="1">
        <f t="shared" si="0"/>
        <v>193.18399564968334</v>
      </c>
      <c r="K14" s="1">
        <f t="shared" si="2"/>
        <v>60.910679859147976</v>
      </c>
      <c r="L14" s="1">
        <f t="shared" si="1"/>
        <v>184.26568799804375</v>
      </c>
      <c r="M14" s="1">
        <f t="shared" si="3"/>
        <v>58.098748257735835</v>
      </c>
    </row>
    <row r="15" spans="1:13" x14ac:dyDescent="0.25">
      <c r="A15" t="s">
        <v>28</v>
      </c>
      <c r="B15" s="2">
        <v>11</v>
      </c>
      <c r="C15" t="s">
        <v>6</v>
      </c>
      <c r="D15" t="s">
        <v>8</v>
      </c>
      <c r="F15" s="25">
        <f>B45</f>
        <v>9.7468810611087271</v>
      </c>
      <c r="G15" t="s">
        <v>5</v>
      </c>
      <c r="I15">
        <v>20</v>
      </c>
      <c r="J15" s="1">
        <f t="shared" si="0"/>
        <v>166.68723454009395</v>
      </c>
      <c r="K15" s="1">
        <f t="shared" si="2"/>
        <v>60.669191804743413</v>
      </c>
      <c r="L15" s="1">
        <f t="shared" si="1"/>
        <v>158.62139625624684</v>
      </c>
      <c r="M15" s="1">
        <f t="shared" si="3"/>
        <v>57.73346675501827</v>
      </c>
    </row>
    <row r="16" spans="1:13" x14ac:dyDescent="0.25">
      <c r="A16" t="s">
        <v>9</v>
      </c>
      <c r="B16" s="2">
        <v>0.5</v>
      </c>
      <c r="C16" t="s">
        <v>7</v>
      </c>
      <c r="D16" t="s">
        <v>12</v>
      </c>
      <c r="F16" s="25">
        <f>B42/B44</f>
        <v>0.19529589738821385</v>
      </c>
      <c r="G16" t="s">
        <v>7</v>
      </c>
      <c r="I16">
        <v>22.5</v>
      </c>
      <c r="J16" s="1">
        <f t="shared" si="0"/>
        <v>142.91174715257384</v>
      </c>
      <c r="K16" s="1">
        <f t="shared" si="2"/>
        <v>59.195983893030629</v>
      </c>
      <c r="L16" s="1">
        <f t="shared" si="1"/>
        <v>135.65227328144422</v>
      </c>
      <c r="M16" s="1">
        <f t="shared" si="3"/>
        <v>56.189011359915632</v>
      </c>
    </row>
    <row r="17" spans="1:13" x14ac:dyDescent="0.25">
      <c r="A17" t="s">
        <v>19</v>
      </c>
      <c r="B17" s="6">
        <f>B15+B11*B6</f>
        <v>11</v>
      </c>
      <c r="C17" t="s">
        <v>6</v>
      </c>
      <c r="D17" t="s">
        <v>31</v>
      </c>
      <c r="F17" s="2">
        <v>0</v>
      </c>
      <c r="G17" t="s">
        <v>29</v>
      </c>
      <c r="I17">
        <v>25</v>
      </c>
      <c r="J17" s="1">
        <f t="shared" si="0"/>
        <v>121.6195242877881</v>
      </c>
      <c r="K17" s="1">
        <f t="shared" si="2"/>
        <v>56.71211555656344</v>
      </c>
      <c r="L17" s="1">
        <f t="shared" si="1"/>
        <v>115.12273560693197</v>
      </c>
      <c r="M17" s="1">
        <f t="shared" si="3"/>
        <v>53.682613241265514</v>
      </c>
    </row>
    <row r="18" spans="1:13" x14ac:dyDescent="0.25">
      <c r="I18">
        <v>30</v>
      </c>
      <c r="J18" s="1">
        <f t="shared" si="0"/>
        <v>85.693703906606018</v>
      </c>
      <c r="K18" s="1">
        <f t="shared" si="2"/>
        <v>49.47528301833507</v>
      </c>
      <c r="L18" s="1">
        <f t="shared" si="1"/>
        <v>80.598307598609694</v>
      </c>
      <c r="M18" s="1">
        <f t="shared" si="3"/>
        <v>46.533454588285565</v>
      </c>
    </row>
    <row r="19" spans="1:13" x14ac:dyDescent="0.25">
      <c r="A19" s="14" t="s">
        <v>16</v>
      </c>
      <c r="B19" s="14"/>
      <c r="C19" s="14"/>
      <c r="D19" s="14"/>
      <c r="E19" s="14"/>
      <c r="F19" s="14"/>
      <c r="G19" s="14"/>
      <c r="I19">
        <v>35</v>
      </c>
      <c r="J19" s="1">
        <f t="shared" si="0"/>
        <v>57.576421126314642</v>
      </c>
      <c r="K19" s="1">
        <f t="shared" si="2"/>
        <v>40.315444095782297</v>
      </c>
      <c r="L19" s="1">
        <f t="shared" si="1"/>
        <v>53.723893426677549</v>
      </c>
      <c r="M19" s="1">
        <f t="shared" si="3"/>
        <v>37.617875159334695</v>
      </c>
    </row>
    <row r="20" spans="1:13" x14ac:dyDescent="0.25">
      <c r="A20" t="s">
        <v>2</v>
      </c>
      <c r="B20" s="3">
        <f>Grundbruch_Streifen(B9,B10,B11,B17,B16,B4,F15,F16,F10,F5,F17)</f>
        <v>295.94897602856037</v>
      </c>
      <c r="C20" t="s">
        <v>29</v>
      </c>
      <c r="D20" s="18" t="s">
        <v>41</v>
      </c>
      <c r="E20" s="17">
        <f>B20/(B4-2*F16)</f>
        <v>183.88683186031625</v>
      </c>
      <c r="F20" t="s">
        <v>6</v>
      </c>
      <c r="I20">
        <v>40</v>
      </c>
      <c r="J20" s="1">
        <f t="shared" si="0"/>
        <v>36.234421886904414</v>
      </c>
      <c r="K20" s="1">
        <f t="shared" si="2"/>
        <v>30.404290041223454</v>
      </c>
      <c r="L20" s="1">
        <f t="shared" si="1"/>
        <v>33.467649462660951</v>
      </c>
      <c r="M20" s="1">
        <f t="shared" si="3"/>
        <v>28.082692320489294</v>
      </c>
    </row>
    <row r="21" spans="1:13" x14ac:dyDescent="0.25">
      <c r="A21" t="s">
        <v>10</v>
      </c>
      <c r="B21" s="3">
        <f>B20*TAN(ABS(F15)/180*PI())</f>
        <v>50.836749099163782</v>
      </c>
      <c r="C21" t="s">
        <v>29</v>
      </c>
      <c r="I21">
        <v>90</v>
      </c>
      <c r="J21" s="1"/>
      <c r="K21" s="1">
        <f t="shared" si="2"/>
        <v>0</v>
      </c>
      <c r="M21" s="1">
        <f t="shared" si="3"/>
        <v>0</v>
      </c>
    </row>
    <row r="22" spans="1:13" x14ac:dyDescent="0.25">
      <c r="J22" s="1"/>
      <c r="K22" s="1"/>
      <c r="M22" s="1"/>
    </row>
    <row r="23" spans="1:13" x14ac:dyDescent="0.25">
      <c r="A23" t="s">
        <v>40</v>
      </c>
      <c r="D23" s="15" t="s">
        <v>39</v>
      </c>
      <c r="E23" s="19">
        <v>2</v>
      </c>
      <c r="J23" s="1"/>
      <c r="K23" s="1"/>
    </row>
    <row r="24" spans="1:13" x14ac:dyDescent="0.25">
      <c r="A24" t="s">
        <v>30</v>
      </c>
      <c r="B24" s="3">
        <f>Grundbruch_Streifen(B9*1.5,ATAN(TAN(B10/180*PI())*1.2)*180/PI(),B11,B17,B16,B4,F15,F16,F10,F5,F17)</f>
        <v>568.11551693687716</v>
      </c>
      <c r="C24" t="s">
        <v>29</v>
      </c>
      <c r="D24" s="18" t="s">
        <v>38</v>
      </c>
      <c r="E24" s="17">
        <f>B24/((B4-2*F16))/E23</f>
        <v>176.49826659668264</v>
      </c>
      <c r="F24" t="s">
        <v>6</v>
      </c>
    </row>
    <row r="25" spans="1:13" x14ac:dyDescent="0.25">
      <c r="A25" t="s">
        <v>37</v>
      </c>
      <c r="B25" s="3">
        <f>B24*TAN(ABS(F15)/180*PI())</f>
        <v>97.58826126526148</v>
      </c>
      <c r="C25" t="s">
        <v>29</v>
      </c>
      <c r="I25" t="s">
        <v>54</v>
      </c>
    </row>
    <row r="26" spans="1:13" x14ac:dyDescent="0.25">
      <c r="I26" t="s">
        <v>57</v>
      </c>
    </row>
    <row r="27" spans="1:13" x14ac:dyDescent="0.25">
      <c r="A27" t="s">
        <v>62</v>
      </c>
      <c r="J27" t="s">
        <v>55</v>
      </c>
      <c r="K27" t="s">
        <v>58</v>
      </c>
    </row>
    <row r="28" spans="1:13" x14ac:dyDescent="0.25">
      <c r="J28" s="17">
        <f>-1/2</f>
        <v>-0.5</v>
      </c>
      <c r="K28">
        <v>0</v>
      </c>
    </row>
    <row r="29" spans="1:13" x14ac:dyDescent="0.25">
      <c r="A29" t="s">
        <v>63</v>
      </c>
      <c r="C29" s="20">
        <f>1-Grundbruch_Streifen(B9,B10,B11,0,B16,B4,F15,F16,F10,F5,F17)/Grundbruch_Streifen(B9,B10,B11,B17,B16,B4,F15,F16,F10,F5,F17)</f>
        <v>0.41023406836396403</v>
      </c>
      <c r="J29" s="17">
        <f>1/2</f>
        <v>0.5</v>
      </c>
      <c r="K29">
        <f>-1*TAN(F5/180*PI())</f>
        <v>-0.17632698070846498</v>
      </c>
    </row>
    <row r="30" spans="1:13" x14ac:dyDescent="0.25">
      <c r="A30" t="s">
        <v>64</v>
      </c>
      <c r="C30" s="20">
        <f>1-Grundbruch_Streifen(0,B10,B11,B17,B16,B4,F15,F16,F10,F5,F17)/Grundbruch_Streifen(B9,B10,B11,B17,B16,B4,F15,F16,F10,F5,F17)</f>
        <v>0</v>
      </c>
      <c r="J30" s="17">
        <f>J29</f>
        <v>0.5</v>
      </c>
      <c r="K30">
        <f>B5/B4+K28</f>
        <v>0.5</v>
      </c>
    </row>
    <row r="31" spans="1:13" x14ac:dyDescent="0.25">
      <c r="A31" t="s">
        <v>65</v>
      </c>
      <c r="C31" s="20">
        <f>1-Grundbruch_Streifen(B9,B10,0,B17,B16,B4,F15,F16,F10,F5,F17)/Grundbruch_Streifen(B9,B10,B11,B17,B16,B4,F15,F16,F10,F5,F17)</f>
        <v>0.58976593163603597</v>
      </c>
      <c r="J31" s="17">
        <f>J28</f>
        <v>-0.5</v>
      </c>
      <c r="K31">
        <f>K30</f>
        <v>0.5</v>
      </c>
    </row>
    <row r="32" spans="1:13" x14ac:dyDescent="0.25">
      <c r="J32" s="17">
        <f>J28</f>
        <v>-0.5</v>
      </c>
      <c r="K32">
        <f>K28</f>
        <v>0</v>
      </c>
    </row>
    <row r="33" spans="1:11" x14ac:dyDescent="0.25">
      <c r="A33" s="24" t="s">
        <v>81</v>
      </c>
      <c r="B33" s="24"/>
      <c r="C33" s="24"/>
      <c r="D33" s="24"/>
      <c r="E33" s="24"/>
      <c r="F33" s="24"/>
      <c r="G33" s="24"/>
    </row>
    <row r="34" spans="1:11" x14ac:dyDescent="0.25">
      <c r="A34" t="s">
        <v>77</v>
      </c>
      <c r="B34" s="16">
        <v>50</v>
      </c>
      <c r="C34" t="s">
        <v>29</v>
      </c>
      <c r="I34" t="s">
        <v>60</v>
      </c>
      <c r="J34">
        <f>(1/2-2*F16/B4)</f>
        <v>0.30470410261178615</v>
      </c>
      <c r="K34">
        <f>-(1-2*F16/B4)*TAN(F5/180*PI())</f>
        <v>-0.14189104477725104</v>
      </c>
    </row>
    <row r="35" spans="1:11" x14ac:dyDescent="0.25">
      <c r="A35" t="s">
        <v>76</v>
      </c>
      <c r="B35" s="2">
        <v>200</v>
      </c>
      <c r="C35" t="s">
        <v>29</v>
      </c>
      <c r="D35" t="s">
        <v>75</v>
      </c>
      <c r="J35">
        <f>J34</f>
        <v>0.30470410261178615</v>
      </c>
      <c r="K35">
        <f>B5/B4</f>
        <v>0.5</v>
      </c>
    </row>
    <row r="36" spans="1:11" x14ac:dyDescent="0.25">
      <c r="A36" t="s">
        <v>78</v>
      </c>
      <c r="B36" s="1">
        <f>B5*B4*25*D36</f>
        <v>50</v>
      </c>
      <c r="C36" t="s">
        <v>29</v>
      </c>
      <c r="D36" s="21">
        <v>1</v>
      </c>
      <c r="E36" t="s">
        <v>67</v>
      </c>
    </row>
    <row r="37" spans="1:11" x14ac:dyDescent="0.25">
      <c r="A37" t="s">
        <v>79</v>
      </c>
      <c r="B37" s="17">
        <f>0.5*B11*B16^2*(B39-B40)*1/1.4*D37</f>
        <v>7.0561539176791985</v>
      </c>
      <c r="C37" t="s">
        <v>29</v>
      </c>
      <c r="D37" s="21">
        <v>1</v>
      </c>
      <c r="E37" t="s">
        <v>68</v>
      </c>
      <c r="I37" t="s">
        <v>56</v>
      </c>
      <c r="J37" t="s">
        <v>55</v>
      </c>
      <c r="K37" t="s">
        <v>58</v>
      </c>
    </row>
    <row r="38" spans="1:11" x14ac:dyDescent="0.25">
      <c r="I38" t="s">
        <v>59</v>
      </c>
      <c r="J38">
        <f>(1/2-F16/B4)-1/2</f>
        <v>-9.7647948694106923E-2</v>
      </c>
      <c r="K38">
        <f>-(1/2-F16/B4)*TAN(F5/180*PI())</f>
        <v>-7.0945522388625518E-2</v>
      </c>
    </row>
    <row r="39" spans="1:11" x14ac:dyDescent="0.25">
      <c r="A39" t="s">
        <v>73</v>
      </c>
      <c r="B39" s="23">
        <f>B40^-1</f>
        <v>3.8518399963191827</v>
      </c>
      <c r="J39">
        <f>J38+SIN(F15/180*PI())</f>
        <v>7.1647905418009278E-2</v>
      </c>
      <c r="K39">
        <f>K38+COS(F15/180*PI())</f>
        <v>0.91461975387695449</v>
      </c>
    </row>
    <row r="40" spans="1:11" x14ac:dyDescent="0.25">
      <c r="A40" t="s">
        <v>74</v>
      </c>
      <c r="B40" s="23">
        <f>(1-SIN(B10/180*PI()))/(1+SIN(B10/180*PI()))</f>
        <v>0.25961618368249972</v>
      </c>
    </row>
    <row r="41" spans="1:11" x14ac:dyDescent="0.25">
      <c r="I41" t="s">
        <v>61</v>
      </c>
      <c r="J41" s="17">
        <f>J28</f>
        <v>-0.5</v>
      </c>
      <c r="K41">
        <f>B16/B4+K28</f>
        <v>0.25</v>
      </c>
    </row>
    <row r="42" spans="1:11" x14ac:dyDescent="0.25">
      <c r="A42" t="s">
        <v>69</v>
      </c>
      <c r="B42" s="17">
        <f>(B34)*B5-B37*B16/3</f>
        <v>48.823974347053465</v>
      </c>
      <c r="C42" s="22" t="s">
        <v>85</v>
      </c>
      <c r="J42" s="17">
        <f>J41-0.3</f>
        <v>-0.8</v>
      </c>
      <c r="K42">
        <f>K41+(J42-J41)*TAN(F10/180*PI())</f>
        <v>0.14080892972013928</v>
      </c>
    </row>
    <row r="43" spans="1:11" x14ac:dyDescent="0.25">
      <c r="A43" t="s">
        <v>70</v>
      </c>
      <c r="B43" s="17">
        <f>B34-B37</f>
        <v>42.943846082320803</v>
      </c>
      <c r="C43" t="s">
        <v>29</v>
      </c>
    </row>
    <row r="44" spans="1:11" x14ac:dyDescent="0.25">
      <c r="A44" t="s">
        <v>71</v>
      </c>
      <c r="B44" s="1">
        <f>B36+B35</f>
        <v>250</v>
      </c>
      <c r="C44" t="s">
        <v>29</v>
      </c>
    </row>
    <row r="45" spans="1:11" x14ac:dyDescent="0.25">
      <c r="A45" t="s">
        <v>8</v>
      </c>
      <c r="B45" s="23">
        <f>ATAN(B43/B44)*180/PI()</f>
        <v>9.7468810611087271</v>
      </c>
      <c r="C45" s="22" t="s">
        <v>84</v>
      </c>
    </row>
    <row r="48" spans="1:11" x14ac:dyDescent="0.25">
      <c r="A48" t="s">
        <v>72</v>
      </c>
      <c r="B48" s="23">
        <f>B20/B44</f>
        <v>1.1837959041142414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M47"/>
  <sheetViews>
    <sheetView tabSelected="1" workbookViewId="0">
      <selection activeCell="C13" sqref="C13"/>
    </sheetView>
  </sheetViews>
  <sheetFormatPr baseColWidth="10" defaultRowHeight="15" x14ac:dyDescent="0.25"/>
  <cols>
    <col min="1" max="1" width="16" customWidth="1"/>
    <col min="2" max="3" width="12.42578125" customWidth="1"/>
    <col min="7" max="7" width="6.85546875" customWidth="1"/>
    <col min="8" max="8" width="5.85546875" customWidth="1"/>
    <col min="9" max="12" width="10.42578125" customWidth="1"/>
  </cols>
  <sheetData>
    <row r="1" spans="1:13" x14ac:dyDescent="0.25">
      <c r="A1" s="4" t="s">
        <v>18</v>
      </c>
      <c r="G1" s="15" t="str">
        <f>VersionG()</f>
        <v>Version 0.03, 2018-01-18</v>
      </c>
    </row>
    <row r="3" spans="1:13" x14ac:dyDescent="0.25">
      <c r="A3" s="8" t="s">
        <v>11</v>
      </c>
      <c r="B3" s="9"/>
      <c r="C3" s="9"/>
      <c r="D3" s="9"/>
      <c r="E3" s="9"/>
      <c r="F3" s="9"/>
      <c r="G3" s="9"/>
      <c r="J3" t="s">
        <v>35</v>
      </c>
      <c r="L3" t="s">
        <v>36</v>
      </c>
    </row>
    <row r="4" spans="1:13" x14ac:dyDescent="0.25">
      <c r="A4" t="s">
        <v>1</v>
      </c>
      <c r="B4" s="2">
        <v>1.7</v>
      </c>
      <c r="C4" t="s">
        <v>7</v>
      </c>
      <c r="D4" t="s">
        <v>20</v>
      </c>
      <c r="J4" s="1" t="s">
        <v>34</v>
      </c>
      <c r="K4" s="1"/>
      <c r="L4" t="str">
        <f>"Globale Sicherheit (FS="&amp;E23&amp;")"</f>
        <v>Globale Sicherheit (FS=2)</v>
      </c>
    </row>
    <row r="5" spans="1:13" x14ac:dyDescent="0.25">
      <c r="A5" t="s">
        <v>0</v>
      </c>
      <c r="B5" s="2">
        <v>34.450000000000003</v>
      </c>
      <c r="C5" t="s">
        <v>7</v>
      </c>
      <c r="D5" t="s">
        <v>22</v>
      </c>
      <c r="F5" s="2">
        <v>0</v>
      </c>
      <c r="G5" t="s">
        <v>5</v>
      </c>
      <c r="I5" t="s">
        <v>14</v>
      </c>
      <c r="J5" t="s">
        <v>2</v>
      </c>
      <c r="K5" t="s">
        <v>10</v>
      </c>
      <c r="L5" t="s">
        <v>32</v>
      </c>
      <c r="M5" t="s">
        <v>33</v>
      </c>
    </row>
    <row r="6" spans="1:13" x14ac:dyDescent="0.25">
      <c r="A6" t="s">
        <v>66</v>
      </c>
      <c r="B6">
        <v>0.85</v>
      </c>
      <c r="C6" t="s">
        <v>7</v>
      </c>
      <c r="I6" t="s">
        <v>5</v>
      </c>
      <c r="J6" t="s">
        <v>3</v>
      </c>
      <c r="K6" t="s">
        <v>3</v>
      </c>
      <c r="L6" t="s">
        <v>3</v>
      </c>
      <c r="M6" t="s">
        <v>3</v>
      </c>
    </row>
    <row r="7" spans="1:13" x14ac:dyDescent="0.25">
      <c r="I7">
        <v>0</v>
      </c>
      <c r="J7" s="1">
        <f t="shared" ref="J7:J20" si="0">Grundbruch_Rechteck($B$9,$B$10,$B$11,$B$17,$B$16,$B$4,$B$5,I7,$F$16,$F$17,$F$10,$F$5,$F$18)</f>
        <v>8079.9807499155731</v>
      </c>
      <c r="K7" s="1">
        <f>J7*TAN(I7/180*PI())</f>
        <v>0</v>
      </c>
      <c r="L7" s="1">
        <f t="shared" ref="L7:L20" si="1">Grundbruch_Rechteck($B$9*1.5,ATAN(TAN($B$10/180*PI())*1.2)*180/PI(),$B$11,$B$17,$B$16,$B$4,$B$5,I7,$F$16,$F$17,$F$10,$F$5)/$E$23</f>
        <v>6614.2964971927586</v>
      </c>
      <c r="M7" s="1">
        <f>L7*TAN(I7/180*PI())</f>
        <v>0</v>
      </c>
    </row>
    <row r="8" spans="1:13" x14ac:dyDescent="0.25">
      <c r="A8" s="10" t="s">
        <v>21</v>
      </c>
      <c r="B8" s="11"/>
      <c r="C8" s="11"/>
      <c r="D8" s="11"/>
      <c r="E8" s="11"/>
      <c r="F8" s="11"/>
      <c r="G8" s="11"/>
      <c r="I8">
        <v>2.5</v>
      </c>
      <c r="J8" s="1">
        <f t="shared" si="0"/>
        <v>7140.1089275305822</v>
      </c>
      <c r="K8" s="1">
        <f t="shared" ref="K8:K20" si="2">J8*TAN(I8/180*PI())</f>
        <v>311.74388824547003</v>
      </c>
      <c r="L8" s="1">
        <f t="shared" si="1"/>
        <v>5831.9039492146749</v>
      </c>
      <c r="M8" s="1">
        <f>L8*TAN(I8/180*PI())</f>
        <v>254.62642537458794</v>
      </c>
    </row>
    <row r="9" spans="1:13" x14ac:dyDescent="0.25">
      <c r="A9" t="s">
        <v>25</v>
      </c>
      <c r="B9" s="2">
        <v>0</v>
      </c>
      <c r="C9" t="s">
        <v>6</v>
      </c>
      <c r="D9" t="s">
        <v>20</v>
      </c>
      <c r="I9">
        <v>5</v>
      </c>
      <c r="J9" s="1">
        <f t="shared" si="0"/>
        <v>6288.9976461172118</v>
      </c>
      <c r="K9" s="1">
        <f t="shared" si="2"/>
        <v>550.21599897647684</v>
      </c>
      <c r="L9" s="1">
        <f t="shared" si="1"/>
        <v>5124.8223642916637</v>
      </c>
      <c r="M9" s="1">
        <f t="shared" ref="M9:M21" si="3">L9*TAN(I9/180*PI())</f>
        <v>448.36385945964372</v>
      </c>
    </row>
    <row r="10" spans="1:13" x14ac:dyDescent="0.25">
      <c r="A10" s="5" t="s">
        <v>24</v>
      </c>
      <c r="B10" s="2">
        <v>27</v>
      </c>
      <c r="C10" t="s">
        <v>5</v>
      </c>
      <c r="D10" t="s">
        <v>23</v>
      </c>
      <c r="F10" s="2">
        <v>0</v>
      </c>
      <c r="G10" t="s">
        <v>5</v>
      </c>
      <c r="I10">
        <v>7.5</v>
      </c>
      <c r="J10" s="1">
        <f t="shared" si="0"/>
        <v>5517.6861621636408</v>
      </c>
      <c r="K10" s="1">
        <f t="shared" si="2"/>
        <v>726.41716415225608</v>
      </c>
      <c r="L10" s="1">
        <f t="shared" si="1"/>
        <v>4485.3919422763547</v>
      </c>
      <c r="M10" s="1">
        <f t="shared" si="3"/>
        <v>590.51305185906256</v>
      </c>
    </row>
    <row r="11" spans="1:13" x14ac:dyDescent="0.25">
      <c r="A11" s="7" t="s">
        <v>26</v>
      </c>
      <c r="B11" s="2">
        <v>18</v>
      </c>
      <c r="C11" t="s">
        <v>4</v>
      </c>
      <c r="I11">
        <v>10</v>
      </c>
      <c r="J11" s="1">
        <f t="shared" si="0"/>
        <v>4818.5542382379199</v>
      </c>
      <c r="K11" s="1">
        <f t="shared" si="2"/>
        <v>849.64112020846983</v>
      </c>
      <c r="L11" s="1">
        <f t="shared" si="1"/>
        <v>3907.0972428348068</v>
      </c>
      <c r="M11" s="1">
        <f t="shared" si="3"/>
        <v>688.92666016342969</v>
      </c>
    </row>
    <row r="12" spans="1:13" x14ac:dyDescent="0.25">
      <c r="I12">
        <v>12.5</v>
      </c>
      <c r="J12" s="1">
        <f t="shared" si="0"/>
        <v>4185.1072451369791</v>
      </c>
      <c r="K12" s="1">
        <f t="shared" si="2"/>
        <v>927.81593883516609</v>
      </c>
      <c r="L12" s="1">
        <f t="shared" si="1"/>
        <v>3384.3819907872739</v>
      </c>
      <c r="M12" s="1">
        <f t="shared" si="3"/>
        <v>750.299423702426</v>
      </c>
    </row>
    <row r="13" spans="1:13" x14ac:dyDescent="0.25">
      <c r="A13" s="12" t="s">
        <v>15</v>
      </c>
      <c r="B13" s="13"/>
      <c r="C13" s="13"/>
      <c r="D13" s="13"/>
      <c r="E13" s="13"/>
      <c r="F13" s="13"/>
      <c r="G13" s="13"/>
      <c r="I13">
        <v>15</v>
      </c>
      <c r="J13" s="1">
        <f t="shared" si="0"/>
        <v>3611.7994677837182</v>
      </c>
      <c r="K13" s="1">
        <f t="shared" si="2"/>
        <v>967.77875061580608</v>
      </c>
      <c r="L13" s="1">
        <f t="shared" si="1"/>
        <v>2912.49668962434</v>
      </c>
      <c r="M13" s="1">
        <f t="shared" si="3"/>
        <v>780.40113594316006</v>
      </c>
    </row>
    <row r="14" spans="1:13" x14ac:dyDescent="0.25">
      <c r="A14" t="s">
        <v>27</v>
      </c>
      <c r="D14" t="s">
        <v>20</v>
      </c>
      <c r="I14">
        <v>17.5</v>
      </c>
      <c r="J14" s="1">
        <f t="shared" si="0"/>
        <v>3093.8870459209243</v>
      </c>
      <c r="K14" s="1">
        <f t="shared" si="2"/>
        <v>975.49883850724336</v>
      </c>
      <c r="L14" s="1">
        <f t="shared" si="1"/>
        <v>2487.3716451478263</v>
      </c>
      <c r="M14" s="1">
        <f t="shared" si="3"/>
        <v>784.2652672070343</v>
      </c>
    </row>
    <row r="15" spans="1:13" x14ac:dyDescent="0.25">
      <c r="A15" t="s">
        <v>28</v>
      </c>
      <c r="B15" s="2">
        <v>0</v>
      </c>
      <c r="C15" t="s">
        <v>6</v>
      </c>
      <c r="D15" t="s">
        <v>8</v>
      </c>
      <c r="F15" s="25">
        <f>B45</f>
        <v>6.9113841018617537</v>
      </c>
      <c r="G15" t="s">
        <v>5</v>
      </c>
      <c r="I15">
        <v>20</v>
      </c>
      <c r="J15" s="1">
        <f t="shared" si="0"/>
        <v>2627.3036474845676</v>
      </c>
      <c r="K15" s="1">
        <f t="shared" si="2"/>
        <v>956.26032406340596</v>
      </c>
      <c r="L15" s="1">
        <f t="shared" si="1"/>
        <v>2105.5094476828008</v>
      </c>
      <c r="M15" s="1">
        <f t="shared" si="3"/>
        <v>766.34276692281128</v>
      </c>
    </row>
    <row r="16" spans="1:13" x14ac:dyDescent="0.25">
      <c r="A16" t="s">
        <v>9</v>
      </c>
      <c r="B16" s="2">
        <v>0.8</v>
      </c>
      <c r="C16" t="s">
        <v>7</v>
      </c>
      <c r="D16" t="s">
        <v>12</v>
      </c>
      <c r="F16" s="26">
        <f>B42/B44</f>
        <v>0.22682767386421893</v>
      </c>
      <c r="G16" t="s">
        <v>7</v>
      </c>
      <c r="I16">
        <v>22.5</v>
      </c>
      <c r="J16" s="1">
        <f t="shared" si="0"/>
        <v>2208.5531652191344</v>
      </c>
      <c r="K16" s="1">
        <f t="shared" si="2"/>
        <v>914.81267425579233</v>
      </c>
      <c r="L16" s="1">
        <f t="shared" si="1"/>
        <v>1763.8920019265081</v>
      </c>
      <c r="M16" s="1">
        <f t="shared" si="3"/>
        <v>730.62798975938915</v>
      </c>
    </row>
    <row r="17" spans="1:13" x14ac:dyDescent="0.25">
      <c r="A17" t="s">
        <v>19</v>
      </c>
      <c r="B17" s="6">
        <f>B15+B11*B16</f>
        <v>14.4</v>
      </c>
      <c r="C17" t="s">
        <v>6</v>
      </c>
      <c r="D17" t="s">
        <v>13</v>
      </c>
      <c r="F17" s="26">
        <f>8444.1/B44</f>
        <v>2.1152113006155071</v>
      </c>
      <c r="G17" t="s">
        <v>7</v>
      </c>
      <c r="I17">
        <v>25</v>
      </c>
      <c r="J17" s="1">
        <f t="shared" si="0"/>
        <v>1834.6145581806168</v>
      </c>
      <c r="K17" s="1">
        <f t="shared" si="2"/>
        <v>855.49481824227075</v>
      </c>
      <c r="L17" s="1">
        <f t="shared" si="1"/>
        <v>1459.8979285864987</v>
      </c>
      <c r="M17" s="1">
        <f t="shared" si="3"/>
        <v>680.76158422450351</v>
      </c>
    </row>
    <row r="18" spans="1:13" x14ac:dyDescent="0.25">
      <c r="D18" t="s">
        <v>31</v>
      </c>
      <c r="F18" s="2">
        <v>0</v>
      </c>
      <c r="G18" t="s">
        <v>29</v>
      </c>
      <c r="I18">
        <v>30</v>
      </c>
      <c r="J18" s="1">
        <f t="shared" si="0"/>
        <v>1210.9440055861041</v>
      </c>
      <c r="K18" s="1">
        <f t="shared" si="2"/>
        <v>699.13884759870086</v>
      </c>
      <c r="L18" s="1">
        <f t="shared" si="1"/>
        <v>955.82601647867875</v>
      </c>
      <c r="M18" s="1">
        <f t="shared" si="3"/>
        <v>551.84640791241281</v>
      </c>
    </row>
    <row r="19" spans="1:13" x14ac:dyDescent="0.25">
      <c r="A19" s="14" t="s">
        <v>16</v>
      </c>
      <c r="B19" s="14"/>
      <c r="C19" s="14"/>
      <c r="D19" s="14"/>
      <c r="E19" s="14"/>
      <c r="F19" s="14"/>
      <c r="G19" s="14"/>
      <c r="I19">
        <v>35</v>
      </c>
      <c r="J19" s="1">
        <f t="shared" si="0"/>
        <v>738.37397370535041</v>
      </c>
      <c r="K19" s="1">
        <f t="shared" si="2"/>
        <v>517.01502240634431</v>
      </c>
      <c r="L19" s="1">
        <f t="shared" si="1"/>
        <v>577.43472298321319</v>
      </c>
      <c r="M19" s="1">
        <f t="shared" si="3"/>
        <v>404.32414585688139</v>
      </c>
    </row>
    <row r="20" spans="1:13" x14ac:dyDescent="0.25">
      <c r="A20" t="s">
        <v>2</v>
      </c>
      <c r="B20" s="3">
        <f>Grundbruch_Rechteck(B9,B10,B11,B11*B16,B16,B4,B5,F15,F16,F17,F10,F5)</f>
        <v>5692.5294547257181</v>
      </c>
      <c r="C20" t="s">
        <v>3</v>
      </c>
      <c r="D20" s="18" t="s">
        <v>41</v>
      </c>
      <c r="E20" s="17">
        <f>B20/((B5-2*F17)*(B4-2*F16))</f>
        <v>151.13976587982327</v>
      </c>
      <c r="F20" t="s">
        <v>6</v>
      </c>
      <c r="I20">
        <v>40</v>
      </c>
      <c r="J20" s="1">
        <f t="shared" si="0"/>
        <v>401.09359236396665</v>
      </c>
      <c r="K20" s="1">
        <f t="shared" si="2"/>
        <v>336.55748542017466</v>
      </c>
      <c r="L20" s="1">
        <f t="shared" si="1"/>
        <v>310.4664536949598</v>
      </c>
      <c r="M20" s="1">
        <f t="shared" si="3"/>
        <v>260.51228678835884</v>
      </c>
    </row>
    <row r="21" spans="1:13" x14ac:dyDescent="0.25">
      <c r="A21" t="s">
        <v>10</v>
      </c>
      <c r="B21" s="3">
        <f>B20*TAN(F15/180*PI())</f>
        <v>690.01939620450992</v>
      </c>
      <c r="C21" t="s">
        <v>3</v>
      </c>
      <c r="I21">
        <v>90</v>
      </c>
      <c r="J21" s="1">
        <v>0</v>
      </c>
      <c r="K21">
        <v>0</v>
      </c>
      <c r="L21" s="17"/>
      <c r="M21" s="1">
        <f t="shared" si="3"/>
        <v>0</v>
      </c>
    </row>
    <row r="23" spans="1:13" x14ac:dyDescent="0.25">
      <c r="A23" t="s">
        <v>40</v>
      </c>
      <c r="D23" s="15" t="s">
        <v>83</v>
      </c>
      <c r="E23" s="19">
        <v>2</v>
      </c>
      <c r="J23" s="1"/>
      <c r="K23" s="1"/>
    </row>
    <row r="24" spans="1:13" x14ac:dyDescent="0.25">
      <c r="A24" t="s">
        <v>30</v>
      </c>
      <c r="B24" s="3">
        <f>Grundbruch_Rechteck(B9*1.5,ATAN(TAN(B10/180*PI())*1.2)*180/PI(),B11,B17,B16,B4,B5,F15,F16,F17,F10,F5)</f>
        <v>9260.4327175371054</v>
      </c>
      <c r="C24" t="s">
        <v>3</v>
      </c>
      <c r="D24" s="18" t="s">
        <v>42</v>
      </c>
      <c r="E24" s="17">
        <f>B24/((B5-2*F17)*(B4-2*F16))/E23</f>
        <v>122.93477302190361</v>
      </c>
      <c r="F24" t="s">
        <v>6</v>
      </c>
    </row>
    <row r="25" spans="1:13" x14ac:dyDescent="0.25">
      <c r="A25" t="s">
        <v>37</v>
      </c>
      <c r="B25" s="3">
        <f>B24*TAN(F15/180*PI())</f>
        <v>1122.5024381811168</v>
      </c>
      <c r="C25" t="s">
        <v>3</v>
      </c>
      <c r="I25" t="s">
        <v>54</v>
      </c>
    </row>
    <row r="26" spans="1:13" x14ac:dyDescent="0.25">
      <c r="I26" t="s">
        <v>57</v>
      </c>
    </row>
    <row r="27" spans="1:13" x14ac:dyDescent="0.25">
      <c r="A27" t="s">
        <v>62</v>
      </c>
      <c r="J27" t="s">
        <v>55</v>
      </c>
      <c r="K27" t="s">
        <v>58</v>
      </c>
    </row>
    <row r="28" spans="1:13" x14ac:dyDescent="0.25">
      <c r="J28" s="17">
        <f>-1/2</f>
        <v>-0.5</v>
      </c>
      <c r="K28">
        <v>0</v>
      </c>
    </row>
    <row r="29" spans="1:13" x14ac:dyDescent="0.25">
      <c r="A29" t="s">
        <v>63</v>
      </c>
      <c r="C29" s="20">
        <f>1-Grundbruch_Streifen(B9,B10,B11,0,B5,B4,F15,F16,F10,F5,F17)/Grundbruch_Streifen(B9,B10,B11,B17,B5,B4,F15,F16,F10,F5,F17)</f>
        <v>0.76265260097489018</v>
      </c>
      <c r="J29" s="17">
        <f>1/2</f>
        <v>0.5</v>
      </c>
      <c r="K29">
        <f>-1*TAN(F5/180*PI())</f>
        <v>0</v>
      </c>
    </row>
    <row r="30" spans="1:13" x14ac:dyDescent="0.25">
      <c r="A30" t="s">
        <v>64</v>
      </c>
      <c r="C30" s="20">
        <f>1-Grundbruch_Streifen(0,B10,B11,B17,B5,B4,F15,F16,F10,F5,F17)/Grundbruch_Streifen(B9,B10,B11,B17,B5,B4,F15,F16,F10,F5,F17)</f>
        <v>0</v>
      </c>
      <c r="J30" s="17">
        <f>J29</f>
        <v>0.5</v>
      </c>
      <c r="K30">
        <f>B6/B4+K28</f>
        <v>0.5</v>
      </c>
    </row>
    <row r="31" spans="1:13" x14ac:dyDescent="0.25">
      <c r="A31" t="s">
        <v>65</v>
      </c>
      <c r="C31" s="20">
        <f>1-Grundbruch_Streifen(B9,B10,0,B17,B5,B4,F15,F16,F10,F5,F17)/Grundbruch_Streifen(B9,B10,B11,B17,B5,B4,F15,F16,F10,F5,F17)</f>
        <v>0.23734739902510982</v>
      </c>
      <c r="J31" s="17">
        <f>J28</f>
        <v>-0.5</v>
      </c>
      <c r="K31">
        <f>K30</f>
        <v>0.5</v>
      </c>
    </row>
    <row r="32" spans="1:13" x14ac:dyDescent="0.25">
      <c r="J32" s="17">
        <f>J28</f>
        <v>-0.5</v>
      </c>
      <c r="K32">
        <f>K28</f>
        <v>0</v>
      </c>
    </row>
    <row r="33" spans="1:11" x14ac:dyDescent="0.25">
      <c r="A33" s="24" t="s">
        <v>81</v>
      </c>
      <c r="B33" s="24"/>
      <c r="C33" s="24"/>
      <c r="D33" s="24"/>
      <c r="E33" s="24"/>
      <c r="F33" s="24"/>
      <c r="G33" s="24"/>
    </row>
    <row r="34" spans="1:11" x14ac:dyDescent="0.25">
      <c r="A34" t="s">
        <v>77</v>
      </c>
      <c r="B34" s="16">
        <v>483.9</v>
      </c>
      <c r="C34" t="s">
        <v>3</v>
      </c>
      <c r="I34" t="s">
        <v>60</v>
      </c>
      <c r="J34">
        <f>(1/2-2*F16/B4)</f>
        <v>0.23314391310091892</v>
      </c>
      <c r="K34">
        <f>-(1-2*F16/B4)*TAN(F5/180*PI())</f>
        <v>0</v>
      </c>
    </row>
    <row r="35" spans="1:11" x14ac:dyDescent="0.25">
      <c r="A35" t="s">
        <v>76</v>
      </c>
      <c r="B35" s="2">
        <v>2312</v>
      </c>
      <c r="C35" t="s">
        <v>3</v>
      </c>
      <c r="D35" t="s">
        <v>75</v>
      </c>
      <c r="J35">
        <f>J34</f>
        <v>0.23314391310091892</v>
      </c>
      <c r="K35">
        <f>B6/B4</f>
        <v>0.5</v>
      </c>
    </row>
    <row r="36" spans="1:11" x14ac:dyDescent="0.25">
      <c r="A36" t="s">
        <v>78</v>
      </c>
      <c r="B36" s="1">
        <f>B5*B4*B6*25*D36</f>
        <v>1680.0834375000004</v>
      </c>
      <c r="C36" t="s">
        <v>3</v>
      </c>
      <c r="D36" s="21">
        <v>1.35</v>
      </c>
      <c r="E36" t="s">
        <v>67</v>
      </c>
    </row>
    <row r="37" spans="1:11" x14ac:dyDescent="0.25">
      <c r="A37" t="s">
        <v>79</v>
      </c>
      <c r="B37" s="17">
        <f>0.5*B11*B16^2*B5*(B39-B40)*1/1.4*D37</f>
        <v>0</v>
      </c>
      <c r="C37" t="s">
        <v>3</v>
      </c>
      <c r="D37" s="21">
        <v>0</v>
      </c>
      <c r="E37" t="s">
        <v>68</v>
      </c>
      <c r="I37" t="s">
        <v>56</v>
      </c>
      <c r="J37" t="s">
        <v>55</v>
      </c>
      <c r="K37" t="s">
        <v>58</v>
      </c>
    </row>
    <row r="38" spans="1:11" x14ac:dyDescent="0.25">
      <c r="A38" t="s">
        <v>86</v>
      </c>
      <c r="B38">
        <v>809.2</v>
      </c>
      <c r="I38" t="s">
        <v>59</v>
      </c>
      <c r="J38">
        <f>(1/2-F16/B4)-1/2</f>
        <v>-0.13342804344954051</v>
      </c>
      <c r="K38">
        <f>-(1/2-F16/B4)*TAN(F5/180*PI())</f>
        <v>0</v>
      </c>
    </row>
    <row r="39" spans="1:11" x14ac:dyDescent="0.25">
      <c r="A39" t="s">
        <v>73</v>
      </c>
      <c r="B39" s="23">
        <f>B40^-1</f>
        <v>2.6629399287850766</v>
      </c>
      <c r="J39">
        <f>J38+SIN(F15/180*PI())</f>
        <v>-1.3093955971852325E-2</v>
      </c>
      <c r="K39">
        <f>K38+COS(F15/180*PI())</f>
        <v>0.99273345233799393</v>
      </c>
    </row>
    <row r="40" spans="1:11" x14ac:dyDescent="0.25">
      <c r="A40" t="s">
        <v>74</v>
      </c>
      <c r="B40" s="23">
        <f>(1-SIN(B10/180*PI()))/(1+SIN(B10/180*PI()))</f>
        <v>0.37552480594492188</v>
      </c>
    </row>
    <row r="41" spans="1:11" x14ac:dyDescent="0.25">
      <c r="I41" t="s">
        <v>61</v>
      </c>
      <c r="J41" s="17">
        <f>J28</f>
        <v>-0.5</v>
      </c>
      <c r="K41">
        <f>B16/B4+K28</f>
        <v>0.4705882352941177</v>
      </c>
    </row>
    <row r="42" spans="1:11" x14ac:dyDescent="0.25">
      <c r="A42" t="s">
        <v>87</v>
      </c>
      <c r="B42" s="17">
        <f>(B34)*B6-B37*B16/3+B38-315</f>
        <v>905.5150000000001</v>
      </c>
      <c r="C42" s="22" t="s">
        <v>82</v>
      </c>
      <c r="J42" s="17">
        <f>J41-0.3</f>
        <v>-0.8</v>
      </c>
      <c r="K42">
        <f>K41+(J42-J41)*TAN(F10/180*PI())</f>
        <v>0.4705882352941177</v>
      </c>
    </row>
    <row r="43" spans="1:11" x14ac:dyDescent="0.25">
      <c r="A43" t="s">
        <v>70</v>
      </c>
      <c r="B43" s="17">
        <f>B34-B37</f>
        <v>483.9</v>
      </c>
    </row>
    <row r="44" spans="1:11" x14ac:dyDescent="0.25">
      <c r="A44" t="s">
        <v>71</v>
      </c>
      <c r="B44" s="1">
        <f>B36+B35</f>
        <v>3992.0834375000004</v>
      </c>
    </row>
    <row r="45" spans="1:11" x14ac:dyDescent="0.25">
      <c r="A45" t="s">
        <v>8</v>
      </c>
      <c r="B45" s="23">
        <f>ATAN(B43/B44)*180/PI()</f>
        <v>6.9113841018617537</v>
      </c>
      <c r="C45" s="22" t="s">
        <v>80</v>
      </c>
    </row>
    <row r="47" spans="1:11" x14ac:dyDescent="0.25">
      <c r="A47" t="s">
        <v>72</v>
      </c>
      <c r="B47" s="23">
        <f>B20/B44</f>
        <v>1.4259545282176276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C12" sqref="C12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43</v>
      </c>
    </row>
    <row r="6" spans="2:9" x14ac:dyDescent="0.25">
      <c r="C6" t="s">
        <v>44</v>
      </c>
      <c r="D6" t="s">
        <v>45</v>
      </c>
      <c r="E6" t="s">
        <v>46</v>
      </c>
      <c r="F6" t="s">
        <v>50</v>
      </c>
      <c r="G6" t="s">
        <v>47</v>
      </c>
      <c r="H6" t="s">
        <v>48</v>
      </c>
      <c r="I6" t="s">
        <v>49</v>
      </c>
    </row>
    <row r="7" spans="2:9" x14ac:dyDescent="0.25">
      <c r="B7" t="s">
        <v>51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52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Streifenfundament</vt:lpstr>
      <vt:lpstr>Rechteckfundament</vt:lpstr>
      <vt:lpstr>Eigene Anwendung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2018-01-31T14:20:21Z</dcterms:modified>
</cp:coreProperties>
</file>