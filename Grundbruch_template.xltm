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" i="5" l="1"/>
  <c r="F44" i="5" l="1"/>
  <c r="F44" i="1"/>
  <c r="F42" i="5"/>
  <c r="B42" i="5"/>
  <c r="F41" i="5" s="1"/>
  <c r="B41" i="5"/>
  <c r="B40" i="1"/>
  <c r="F42" i="1"/>
  <c r="B42" i="1"/>
  <c r="F41" i="1" s="1"/>
  <c r="B41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4" i="5" l="1"/>
  <c r="B44" i="1"/>
  <c r="F17" i="5"/>
  <c r="B38" i="5"/>
  <c r="F18" i="5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B31" i="5"/>
  <c r="C53" i="5"/>
  <c r="K7" i="5"/>
  <c r="K20" i="5"/>
  <c r="K19" i="5"/>
  <c r="K14" i="5"/>
  <c r="M9" i="5"/>
  <c r="M11" i="5"/>
  <c r="M17" i="5"/>
  <c r="E31" i="5"/>
  <c r="C54" i="5"/>
  <c r="K17" i="5"/>
  <c r="K16" i="5"/>
  <c r="K15" i="5"/>
  <c r="K10" i="5"/>
  <c r="M16" i="5"/>
  <c r="M18" i="5"/>
  <c r="C55" i="5"/>
  <c r="K13" i="5"/>
  <c r="K12" i="5"/>
  <c r="K11" i="5"/>
  <c r="M7" i="5"/>
  <c r="M19" i="5"/>
  <c r="M14" i="5"/>
  <c r="M12" i="5"/>
  <c r="K9" i="5"/>
  <c r="K8" i="5"/>
  <c r="K18" i="5"/>
  <c r="M13" i="5"/>
  <c r="M15" i="5"/>
  <c r="M10" i="5"/>
  <c r="M8" i="5"/>
  <c r="M20" i="5"/>
  <c r="E34" i="5" l="1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A39" i="5" l="1"/>
  <c r="D38" i="5"/>
  <c r="D44" i="5"/>
  <c r="A45" i="5"/>
  <c r="D55" i="5"/>
  <c r="D53" i="5"/>
  <c r="D56" i="5"/>
  <c r="D54" i="5"/>
  <c r="F15" i="1"/>
  <c r="F16" i="1"/>
  <c r="F17" i="1"/>
  <c r="B38" i="1"/>
  <c r="F18" i="1"/>
  <c r="L30" i="1"/>
  <c r="L35" i="1"/>
  <c r="L41" i="1"/>
  <c r="D49" i="1" l="1"/>
  <c r="B49" i="1"/>
  <c r="E35" i="1"/>
  <c r="A4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C53" i="1"/>
  <c r="M14" i="1"/>
  <c r="K15" i="1"/>
  <c r="K11" i="1"/>
  <c r="M18" i="1"/>
  <c r="M16" i="1"/>
  <c r="C9" i="2"/>
  <c r="K19" i="1"/>
  <c r="C55" i="1"/>
  <c r="M19" i="1"/>
  <c r="K8" i="1"/>
  <c r="K10" i="1"/>
  <c r="C54" i="1"/>
  <c r="M10" i="1"/>
  <c r="M13" i="1"/>
  <c r="M8" i="1"/>
  <c r="M17" i="1"/>
  <c r="K9" i="1"/>
  <c r="K20" i="1"/>
  <c r="K16" i="1"/>
  <c r="K17" i="1"/>
  <c r="M11" i="1"/>
  <c r="M12" i="1"/>
  <c r="M7" i="1"/>
  <c r="K13" i="1"/>
  <c r="E31" i="1"/>
  <c r="M15" i="1"/>
  <c r="K7" i="1"/>
  <c r="K14" i="1"/>
  <c r="B31" i="1"/>
  <c r="M20" i="1"/>
  <c r="M9" i="1"/>
  <c r="K18" i="1"/>
  <c r="K12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s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<sst xmlns="http://schemas.openxmlformats.org/spreadsheetml/2006/main" count="350" uniqueCount="135">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</sst>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384.28275401570409</c:v>
                </c:pt>
                <c:pt idx="1">
                  <c:v>335.84657022251787</c:v>
                </c:pt>
                <c:pt idx="2">
                  <c:v>292.39315173984545</c:v>
                </c:pt>
                <c:pt idx="3">
                  <c:v>253.40314415110225</c:v>
                </c:pt>
                <c:pt idx="4">
                  <c:v>218.4344484089296</c:v>
                </c:pt>
                <c:pt idx="5">
                  <c:v>187.10933596215062</c:v>
                </c:pt>
                <c:pt idx="6">
                  <c:v>159.10382147170864</c:v>
                </c:pt>
                <c:pt idx="7">
                  <c:v>134.13877546072041</c:v>
                </c:pt>
                <c:pt idx="8">
                  <c:v>111.97236207071553</c:v>
                </c:pt>
                <c:pt idx="9">
                  <c:v>92.393462280145371</c:v>
                </c:pt>
                <c:pt idx="10">
                  <c:v>75.215798191613942</c:v>
                </c:pt>
                <c:pt idx="11">
                  <c:v>47.411020762037467</c:v>
                </c:pt>
                <c:pt idx="12">
                  <c:v>27.363784733537116</c:v>
                </c:pt>
                <c:pt idx="13">
                  <c:v>13.944591274233344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14.663377928504939</c:v>
                </c:pt>
                <c:pt idx="2">
                  <c:v>25.581086069851779</c:v>
                </c:pt>
                <c:pt idx="3">
                  <c:v>33.361156823991507</c:v>
                </c:pt>
                <c:pt idx="4">
                  <c:v>38.515886770665517</c:v>
                </c:pt>
                <c:pt idx="5">
                  <c:v>41.481141113473484</c:v>
                </c:pt>
                <c:pt idx="6">
                  <c:v>42.631740476049849</c:v>
                </c:pt>
                <c:pt idx="7">
                  <c:v>42.293793444475057</c:v>
                </c:pt>
                <c:pt idx="8">
                  <c:v>40.754606854218359</c:v>
                </c:pt>
                <c:pt idx="9">
                  <c:v>38.270625151043198</c:v>
                </c:pt>
                <c:pt idx="10">
                  <c:v>35.073702710990474</c:v>
                </c:pt>
                <c:pt idx="11">
                  <c:v>27.372765599517265</c:v>
                </c:pt>
                <c:pt idx="12">
                  <c:v>19.160328344370463</c:v>
                </c:pt>
                <c:pt idx="13">
                  <c:v>11.700901395127115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370.42510094854606</c:v>
                </c:pt>
                <c:pt idx="1">
                  <c:v>322.93349313957907</c:v>
                </c:pt>
                <c:pt idx="2">
                  <c:v>280.40841609990156</c:v>
                </c:pt>
                <c:pt idx="3">
                  <c:v>242.32923847432872</c:v>
                </c:pt>
                <c:pt idx="4">
                  <c:v>208.25269691681922</c:v>
                </c:pt>
                <c:pt idx="5">
                  <c:v>177.79990384744175</c:v>
                </c:pt>
                <c:pt idx="6">
                  <c:v>150.64562598492213</c:v>
                </c:pt>
                <c:pt idx="7">
                  <c:v>126.50931102610589</c:v>
                </c:pt>
                <c:pt idx="8">
                  <c:v>105.147444019061</c:v>
                </c:pt>
                <c:pt idx="9">
                  <c:v>86.346891412592441</c:v>
                </c:pt>
                <c:pt idx="10">
                  <c:v>69.918947398749282</c:v>
                </c:pt>
                <c:pt idx="11">
                  <c:v>43.515500262565659</c:v>
                </c:pt>
                <c:pt idx="12">
                  <c:v>24.712484933643772</c:v>
                </c:pt>
                <c:pt idx="13">
                  <c:v>12.34008020929593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14.099580807213533</c:v>
                </c:pt>
                <c:pt idx="2">
                  <c:v>24.532557566001579</c:v>
                </c:pt>
                <c:pt idx="3">
                  <c:v>31.90324948359703</c:v>
                </c:pt>
                <c:pt idx="4">
                  <c:v>36.720569271737787</c:v>
                </c:pt>
                <c:pt idx="5">
                  <c:v>39.41728970140575</c:v>
                </c:pt>
                <c:pt idx="6">
                  <c:v>40.365373825940836</c:v>
                </c:pt>
                <c:pt idx="7">
                  <c:v>39.888232548445821</c:v>
                </c:pt>
                <c:pt idx="8">
                  <c:v>38.270539832110025</c:v>
                </c:pt>
                <c:pt idx="9">
                  <c:v>35.766053491852723</c:v>
                </c:pt>
                <c:pt idx="10">
                  <c:v>32.603740622173305</c:v>
                </c:pt>
                <c:pt idx="11">
                  <c:v>25.123685790513512</c:v>
                </c:pt>
                <c:pt idx="12">
                  <c:v>17.303868238431246</c:v>
                </c:pt>
                <c:pt idx="13">
                  <c:v>10.354556752318267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42.5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5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265.27232353061379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31.208508650660441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05632"/>
        <c:axId val="446416384"/>
      </c:scatterChart>
      <c:valAx>
        <c:axId val="446405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416384"/>
        <c:crosses val="autoZero"/>
        <c:crossBetween val="midCat"/>
      </c:valAx>
      <c:valAx>
        <c:axId val="44641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405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0.11684124756739718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0.99315060432287616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30592"/>
        <c:axId val="446699008"/>
      </c:scatterChart>
      <c:valAx>
        <c:axId val="44643059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46699008"/>
        <c:crossesAt val="0"/>
        <c:crossBetween val="midCat"/>
        <c:majorUnit val="0.2"/>
      </c:valAx>
      <c:valAx>
        <c:axId val="44669900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643059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2654.1086995962778</c:v>
                </c:pt>
                <c:pt idx="1">
                  <c:v>2341.9311142702327</c:v>
                </c:pt>
                <c:pt idx="2">
                  <c:v>2061.5143627368634</c:v>
                </c:pt>
                <c:pt idx="3">
                  <c:v>1809.2570007408071</c:v>
                </c:pt>
                <c:pt idx="4">
                  <c:v>1582.1160096591805</c:v>
                </c:pt>
                <c:pt idx="5">
                  <c:v>1377.5107761930117</c:v>
                </c:pt>
                <c:pt idx="6">
                  <c:v>1193.2455529753536</c:v>
                </c:pt>
                <c:pt idx="7">
                  <c:v>1027.4462518018506</c:v>
                </c:pt>
                <c:pt idx="8">
                  <c:v>878.50835341048833</c:v>
                </c:pt>
                <c:pt idx="9">
                  <c:v>745.05339916886032</c:v>
                </c:pt>
                <c:pt idx="10">
                  <c:v>625.89202652112181</c:v>
                </c:pt>
                <c:pt idx="11">
                  <c:v>426.44889860826078</c:v>
                </c:pt>
                <c:pt idx="12">
                  <c:v>273.30250043138165</c:v>
                </c:pt>
                <c:pt idx="13">
                  <c:v>160.80256174764165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102.25092067582067</c:v>
                </c:pt>
                <c:pt idx="2">
                  <c:v>180.35913643534511</c:v>
                </c:pt>
                <c:pt idx="3">
                  <c:v>238.19320292500814</c:v>
                </c:pt>
                <c:pt idx="4">
                  <c:v>278.96973911372788</c:v>
                </c:pt>
                <c:pt idx="5">
                  <c:v>305.38678681512397</c:v>
                </c:pt>
                <c:pt idx="6">
                  <c:v>319.72918229177441</c:v>
                </c:pt>
                <c:pt idx="7">
                  <c:v>323.95255883137463</c:v>
                </c:pt>
                <c:pt idx="8">
                  <c:v>319.75089119563114</c:v>
                </c:pt>
                <c:pt idx="9">
                  <c:v>308.61122262791719</c:v>
                </c:pt>
                <c:pt idx="10">
                  <c:v>291.85824514495056</c:v>
                </c:pt>
                <c:pt idx="11">
                  <c:v>246.21038640709878</c:v>
                </c:pt>
                <c:pt idx="12">
                  <c:v>191.36847101361587</c:v>
                </c:pt>
                <c:pt idx="13">
                  <c:v>134.92937025480788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2511.2365127887751</c:v>
                </c:pt>
                <c:pt idx="1">
                  <c:v>2211.648163690305</c:v>
                </c:pt>
                <c:pt idx="2">
                  <c:v>1942.945042839495</c:v>
                </c:pt>
                <c:pt idx="3">
                  <c:v>1701.609594247125</c:v>
                </c:pt>
                <c:pt idx="4">
                  <c:v>1484.6701485983569</c:v>
                </c:pt>
                <c:pt idx="5">
                  <c:v>1289.6066514893128</c:v>
                </c:pt>
                <c:pt idx="6">
                  <c:v>1114.2745288336203</c:v>
                </c:pt>
                <c:pt idx="7">
                  <c:v>956.84260692309817</c:v>
                </c:pt>
                <c:pt idx="8">
                  <c:v>815.74192293801536</c:v>
                </c:pt>
                <c:pt idx="9">
                  <c:v>689.62293316422677</c:v>
                </c:pt>
                <c:pt idx="10">
                  <c:v>577.31911601089939</c:v>
                </c:pt>
                <c:pt idx="11">
                  <c:v>390.21948173006905</c:v>
                </c:pt>
                <c:pt idx="12">
                  <c:v>247.64304209954008</c:v>
                </c:pt>
                <c:pt idx="13">
                  <c:v>143.94214456038111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96.562644208597931</c:v>
                </c:pt>
                <c:pt idx="2">
                  <c:v>169.98566510234659</c:v>
                </c:pt>
                <c:pt idx="3">
                  <c:v>224.02115300130922</c:v>
                </c:pt>
                <c:pt idx="4">
                  <c:v>261.78740465033633</c:v>
                </c:pt>
                <c:pt idx="5">
                  <c:v>285.89891154401454</c:v>
                </c:pt>
                <c:pt idx="6">
                  <c:v>298.56896014753829</c:v>
                </c:pt>
                <c:pt idx="7">
                  <c:v>301.69131511066212</c:v>
                </c:pt>
                <c:pt idx="8">
                  <c:v>296.90577879251185</c:v>
                </c:pt>
                <c:pt idx="9">
                  <c:v>285.65117184013718</c:v>
                </c:pt>
                <c:pt idx="10">
                  <c:v>269.20832499515643</c:v>
                </c:pt>
                <c:pt idx="11">
                  <c:v>225.29332281989161</c:v>
                </c:pt>
                <c:pt idx="12">
                  <c:v>173.40152486328248</c:v>
                </c:pt>
                <c:pt idx="13">
                  <c:v>120.78180041148249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355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40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1914.108301596621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215.67417482778831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63776"/>
        <c:axId val="446766080"/>
      </c:scatterChart>
      <c:valAx>
        <c:axId val="446763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766080"/>
        <c:crosses val="autoZero"/>
        <c:crossBetween val="midCat"/>
      </c:valAx>
      <c:valAx>
        <c:axId val="44676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763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-8.7488663525924007E-2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-8.7488663525924007E-2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0.11196753412197455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-4.3744331762962003E-2</c:v>
                </c:pt>
                <c:pt idx="1">
                  <c:v>0.94996753356956209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90720"/>
        <c:axId val="446192640"/>
      </c:scatterChart>
      <c:valAx>
        <c:axId val="446190720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46192640"/>
        <c:crossesAt val="0"/>
        <c:crossBetween val="midCat"/>
        <c:majorUnit val="0.2"/>
      </c:valAx>
      <c:valAx>
        <c:axId val="446192640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6190720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tabSelected="1" zoomScaleNormal="100" workbookViewId="0">
      <selection activeCell="C21" sqref="C2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384.28275401570409</v>
      </c>
      <c r="L7" s="1">
        <f>K7*TAN(J7/180*PI())</f>
        <v>0</v>
      </c>
      <c r="M7" s="1">
        <f>Grundbruch_Streifen($B$4*1.5,ATAN(TAN($B$5/180*PI())*1.2)*180/PI(),$B$6,$B$17,$B$16,$B$9,J7,$F$15,$F$5,$F$10,$F$18)/$E$30</f>
        <v>370.42510094854606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335.84657022251787</v>
      </c>
      <c r="L8" s="1">
        <f t="shared" ref="L8:L20" si="1">K8*TAN(J8/180*PI())</f>
        <v>14.663377928504939</v>
      </c>
      <c r="M8" s="1">
        <f t="shared" ref="M8:M20" si="2">Grundbruch_Streifen($B$4*1.5,ATAN(TAN($B$5/180*PI())*1.2)*180/PI(),$B$6,$B$17,$B$16,$B$9,J8,$F$15,$F$5,$F$10,$F$18)/$E$30</f>
        <v>322.93349313957907</v>
      </c>
      <c r="N8" s="1">
        <f>M8*TAN(J8/180*PI())</f>
        <v>14.099580807213533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292.39315173984545</v>
      </c>
      <c r="L9" s="1">
        <f t="shared" si="1"/>
        <v>25.581086069851779</v>
      </c>
      <c r="M9" s="1">
        <f t="shared" si="2"/>
        <v>280.40841609990156</v>
      </c>
      <c r="N9" s="1">
        <f t="shared" ref="N9:N21" si="3">M9*TAN(J9/180*PI())</f>
        <v>24.532557566001579</v>
      </c>
    </row>
    <row r="10" spans="1:20" x14ac:dyDescent="0.25">
      <c r="A10" t="s">
        <v>91</v>
      </c>
      <c r="B10" s="59" t="s">
        <v>122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253.40314415110225</v>
      </c>
      <c r="L10" s="1">
        <f t="shared" si="1"/>
        <v>33.361156823991507</v>
      </c>
      <c r="M10" s="1">
        <f t="shared" si="2"/>
        <v>242.32923847432872</v>
      </c>
      <c r="N10" s="1">
        <f t="shared" si="3"/>
        <v>31.90324948359703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218.4344484089296</v>
      </c>
      <c r="L11" s="1">
        <f t="shared" si="1"/>
        <v>38.515886770665517</v>
      </c>
      <c r="M11" s="1">
        <f t="shared" si="2"/>
        <v>208.25269691681922</v>
      </c>
      <c r="N11" s="1">
        <f t="shared" si="3"/>
        <v>36.720569271737787</v>
      </c>
    </row>
    <row r="12" spans="1:20" x14ac:dyDescent="0.25">
      <c r="J12">
        <v>12.5</v>
      </c>
      <c r="K12" s="1">
        <f t="shared" si="0"/>
        <v>187.10933596215062</v>
      </c>
      <c r="L12" s="1">
        <f t="shared" si="1"/>
        <v>41.481141113473484</v>
      </c>
      <c r="M12" s="1">
        <f t="shared" si="2"/>
        <v>177.79990384744175</v>
      </c>
      <c r="N12" s="1">
        <f t="shared" si="3"/>
        <v>39.41728970140575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159.10382147170864</v>
      </c>
      <c r="L13" s="1">
        <f t="shared" si="1"/>
        <v>42.631740476049849</v>
      </c>
      <c r="M13" s="1">
        <f t="shared" si="2"/>
        <v>150.64562598492213</v>
      </c>
      <c r="N13" s="1">
        <f t="shared" si="3"/>
        <v>40.365373825940836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134.13877546072041</v>
      </c>
      <c r="L14" s="1">
        <f t="shared" si="1"/>
        <v>42.293793444475057</v>
      </c>
      <c r="M14" s="1">
        <f t="shared" si="2"/>
        <v>126.50931102610589</v>
      </c>
      <c r="N14" s="1">
        <f t="shared" si="3"/>
        <v>39.888232548445821</v>
      </c>
    </row>
    <row r="15" spans="1:20" x14ac:dyDescent="0.25">
      <c r="A15" t="s">
        <v>94</v>
      </c>
      <c r="B15" s="2">
        <v>10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111.97236207071553</v>
      </c>
      <c r="L15" s="1">
        <f t="shared" si="1"/>
        <v>40.754606854218359</v>
      </c>
      <c r="M15" s="1">
        <f t="shared" si="2"/>
        <v>105.147444019061</v>
      </c>
      <c r="N15" s="1">
        <f t="shared" si="3"/>
        <v>38.270539832110025</v>
      </c>
    </row>
    <row r="16" spans="1:20" x14ac:dyDescent="0.25">
      <c r="A16" t="s">
        <v>93</v>
      </c>
      <c r="B16" s="2">
        <v>0</v>
      </c>
      <c r="C16" t="s">
        <v>5</v>
      </c>
      <c r="D16" t="s">
        <v>60</v>
      </c>
      <c r="E16" t="s">
        <v>133</v>
      </c>
      <c r="F16" s="58" t="s">
        <v>123</v>
      </c>
      <c r="J16">
        <v>22.5</v>
      </c>
      <c r="K16" s="1">
        <f t="shared" si="0"/>
        <v>92.393462280145371</v>
      </c>
      <c r="L16" s="1">
        <f t="shared" si="1"/>
        <v>38.270625151043198</v>
      </c>
      <c r="M16" s="1">
        <f t="shared" si="2"/>
        <v>86.346891412592441</v>
      </c>
      <c r="N16" s="1">
        <f t="shared" si="3"/>
        <v>35.766053491852723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6.7098368077569326</v>
      </c>
      <c r="G17" t="s">
        <v>3</v>
      </c>
      <c r="J17">
        <v>25</v>
      </c>
      <c r="K17" s="1">
        <f t="shared" si="0"/>
        <v>75.215798191613942</v>
      </c>
      <c r="L17" s="1">
        <f t="shared" si="1"/>
        <v>35.073702710990474</v>
      </c>
      <c r="M17" s="1">
        <f t="shared" si="2"/>
        <v>69.918947398749282</v>
      </c>
      <c r="N17" s="1">
        <f t="shared" si="3"/>
        <v>32.603740622173305</v>
      </c>
    </row>
    <row r="18" spans="1:14" x14ac:dyDescent="0.25">
      <c r="D18" t="s">
        <v>20</v>
      </c>
      <c r="F18" s="36">
        <f>(F26^2+F27^2)^0.5</f>
        <v>42.793106921559222</v>
      </c>
      <c r="G18" t="s">
        <v>19</v>
      </c>
      <c r="J18">
        <v>30</v>
      </c>
      <c r="K18" s="1">
        <f t="shared" si="0"/>
        <v>47.411020762037467</v>
      </c>
      <c r="L18" s="1">
        <f t="shared" si="1"/>
        <v>27.372765599517265</v>
      </c>
      <c r="M18" s="1">
        <f t="shared" si="2"/>
        <v>43.515500262565659</v>
      </c>
      <c r="N18" s="1">
        <f t="shared" si="3"/>
        <v>25.123685790513512</v>
      </c>
    </row>
    <row r="19" spans="1:14" x14ac:dyDescent="0.25">
      <c r="J19">
        <v>35</v>
      </c>
      <c r="K19" s="1">
        <f t="shared" si="0"/>
        <v>27.363784733537116</v>
      </c>
      <c r="L19" s="1">
        <f t="shared" si="1"/>
        <v>19.160328344370463</v>
      </c>
      <c r="M19" s="1">
        <f t="shared" si="2"/>
        <v>24.712484933643772</v>
      </c>
      <c r="N19" s="1">
        <f t="shared" si="3"/>
        <v>17.303868238431246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13.944591274233344</v>
      </c>
      <c r="L20" s="1">
        <f t="shared" si="1"/>
        <v>11.700901395127115</v>
      </c>
      <c r="M20" s="1">
        <f t="shared" si="2"/>
        <v>12.34008020929593</v>
      </c>
      <c r="N20" s="1">
        <f t="shared" si="3"/>
        <v>10.354556752318267</v>
      </c>
    </row>
    <row r="21" spans="1:14" x14ac:dyDescent="0.25">
      <c r="A21" t="s">
        <v>58</v>
      </c>
      <c r="B21" s="38" t="s">
        <v>56</v>
      </c>
      <c r="E21" t="s">
        <v>81</v>
      </c>
      <c r="F21" s="33">
        <v>0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5</v>
      </c>
      <c r="G22" t="s">
        <v>19</v>
      </c>
    </row>
    <row r="23" spans="1:14" x14ac:dyDescent="0.25">
      <c r="A23" t="s">
        <v>89</v>
      </c>
      <c r="B23" s="15">
        <f>IF(B21="ja",0.5*B16*B16*B6*B22,0)/1.4</f>
        <v>0</v>
      </c>
      <c r="C23" t="s">
        <v>19</v>
      </c>
      <c r="E23" t="s">
        <v>63</v>
      </c>
      <c r="F23" s="33">
        <v>0</v>
      </c>
      <c r="G23" t="s">
        <v>121</v>
      </c>
      <c r="K23" s="1"/>
      <c r="L23" s="1"/>
    </row>
    <row r="24" spans="1:14" x14ac:dyDescent="0.25">
      <c r="A24" s="19" t="s">
        <v>51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VLOOKUP(B25,S4:T6,2,FALSE)*B9*B11*25</f>
        <v>42.5</v>
      </c>
      <c r="C26" t="s">
        <v>19</v>
      </c>
      <c r="E26" t="s">
        <v>87</v>
      </c>
      <c r="F26" s="15">
        <f>F21+B26</f>
        <v>42.5</v>
      </c>
      <c r="G26" t="s">
        <v>19</v>
      </c>
      <c r="J26" t="s">
        <v>42</v>
      </c>
    </row>
    <row r="27" spans="1:14" x14ac:dyDescent="0.25">
      <c r="E27" t="s">
        <v>62</v>
      </c>
      <c r="F27" s="15">
        <f>F22-IF(B23&lt;F22,B23,F22)</f>
        <v>5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Grundbruch_Streifen(B4,B5,B6,B17,B16,B9,F17,F15,F5,F10,F18)</f>
        <v>265.27232353061379</v>
      </c>
      <c r="C31" t="s">
        <v>19</v>
      </c>
      <c r="D31" s="25" t="s">
        <v>86</v>
      </c>
      <c r="E31" s="26">
        <f>Grundbruch_Streifen(B4*1.5,ATAN(TAN(B5/180*PI())*1.2)*180/PI(),B6,B17,B16,B9,F17,F15,F5,F10,F18)</f>
        <v>457.04250091616211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31.208508650660441</v>
      </c>
      <c r="C32" t="s">
        <v>19</v>
      </c>
      <c r="D32" s="25" t="s">
        <v>26</v>
      </c>
      <c r="E32" s="26">
        <f>E31*TAN(F17/180*PI())</f>
        <v>53.769705990136714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B31/((B9-2*F15))</f>
        <v>132.63616176530689</v>
      </c>
      <c r="C34" t="s">
        <v>4</v>
      </c>
      <c r="D34" s="29" t="s">
        <v>79</v>
      </c>
      <c r="E34" s="30">
        <f>E31/(B9-2*F15)/E30</f>
        <v>126.95625025448948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F26/((B9-2*F15))</f>
        <v>21.25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42.5</v>
      </c>
      <c r="C38" s="44" t="s">
        <v>19</v>
      </c>
      <c r="D38" s="45" t="str">
        <f>IF(B38&lt;F38,"&lt;=","&gt;")</f>
        <v>&lt;=</v>
      </c>
      <c r="E38" s="46" t="s">
        <v>73</v>
      </c>
      <c r="F38" s="43">
        <f>(B31^2+B32^2)^0.5*COS((F10-F17)/180*PI())</f>
        <v>265.27232353061379</v>
      </c>
      <c r="G38" s="47" t="s">
        <v>19</v>
      </c>
      <c r="J38" t="s">
        <v>44</v>
      </c>
      <c r="K38">
        <f>(1/2-F15/B9)-1/2</f>
        <v>0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0.11684124756739718</v>
      </c>
      <c r="L39">
        <f>L38+COS(F17/180*PI())</f>
        <v>0.99315060432287616</v>
      </c>
    </row>
    <row r="40" spans="1:12" x14ac:dyDescent="0.25">
      <c r="A40" s="39" t="s">
        <v>112</v>
      </c>
      <c r="B40" s="40"/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42.5</v>
      </c>
      <c r="C41" t="s">
        <v>1</v>
      </c>
      <c r="D41" t="s">
        <v>6</v>
      </c>
      <c r="F41" s="15">
        <f>IFERROR(ATAN(B42/B41)*180/PI(),0)</f>
        <v>6.7098368077569326</v>
      </c>
      <c r="G41" s="47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4" t="s">
        <v>129</v>
      </c>
      <c r="B42" s="15">
        <f>F22</f>
        <v>5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124</v>
      </c>
      <c r="B44" s="51">
        <f>(B41^2+B42^2)^0.5*SIN((F41-F42)/180*PI())</f>
        <v>4.9999999999999991</v>
      </c>
      <c r="C44" s="44" t="s">
        <v>19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8.6491551203683024</v>
      </c>
      <c r="G44" s="52" t="s">
        <v>19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" x14ac:dyDescent="0.35">
      <c r="C48" s="55"/>
      <c r="D48" s="21" t="s">
        <v>127</v>
      </c>
      <c r="E48" s="45" t="s">
        <v>116</v>
      </c>
      <c r="F48" s="53">
        <f>1/3</f>
        <v>0.33333333333333331</v>
      </c>
    </row>
    <row r="49" spans="1:12" x14ac:dyDescent="0.25">
      <c r="C49" s="55"/>
      <c r="D49" s="57">
        <f>(F15/B9)^2</f>
        <v>0</v>
      </c>
      <c r="E49" s="56" t="str">
        <f>IF(D49&lt;1/100,"&lt;1/100","= 1/"&amp;ROUND(1/(D49),1))&amp;" "&amp;IF(D49&gt;F49,"&gt;","&lt;=")</f>
        <v>&lt;1/100 &lt;=</v>
      </c>
      <c r="F49" s="53">
        <f>F48</f>
        <v>0.33333333333333331</v>
      </c>
      <c r="J49" t="s">
        <v>96</v>
      </c>
    </row>
    <row r="50" spans="1:12" x14ac:dyDescent="0.25">
      <c r="A50" t="s">
        <v>111</v>
      </c>
      <c r="J50" t="s">
        <v>97</v>
      </c>
    </row>
    <row r="51" spans="1:12" x14ac:dyDescent="0.25">
      <c r="J51" t="s">
        <v>101</v>
      </c>
      <c r="L51" t="s">
        <v>102</v>
      </c>
    </row>
    <row r="52" spans="1:12" x14ac:dyDescent="0.25">
      <c r="A52" t="s">
        <v>47</v>
      </c>
      <c r="D52" t="s">
        <v>76</v>
      </c>
      <c r="J52" t="s">
        <v>98</v>
      </c>
      <c r="L52" t="s">
        <v>103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0.48256037797081064</v>
      </c>
      <c r="D54" s="15">
        <f>$B$34*C54</f>
        <v>64.004956354064078</v>
      </c>
      <c r="E54" t="s">
        <v>4</v>
      </c>
      <c r="J54" t="s">
        <v>100</v>
      </c>
      <c r="L54" t="s">
        <v>105</v>
      </c>
    </row>
    <row r="55" spans="1:12" x14ac:dyDescent="0.25">
      <c r="A55" t="s">
        <v>69</v>
      </c>
      <c r="C55" s="17">
        <f>1-Grundbruch_Streifen(B4,B5,0,B17,B16,B9,F17,F15,F5,F10,F18)/Grundbruch_Streifen(B4,B5,B6,B17,B16,B9,F17,F15,F5,F10,F18)</f>
        <v>0.51743962202918947</v>
      </c>
      <c r="D55" s="15">
        <f>$B$34*C55</f>
        <v>68.631205411242831</v>
      </c>
      <c r="E55" t="s">
        <v>4</v>
      </c>
    </row>
    <row r="56" spans="1:12" x14ac:dyDescent="0.25">
      <c r="A56" t="s">
        <v>75</v>
      </c>
      <c r="C56" s="22">
        <f>SUM(C53:C55)</f>
        <v>1</v>
      </c>
      <c r="D56" s="15">
        <f>$B$34*C56</f>
        <v>132.63616176530689</v>
      </c>
      <c r="E56" t="s">
        <v>90</v>
      </c>
      <c r="J56" t="s">
        <v>106</v>
      </c>
    </row>
    <row r="57" spans="1:12" x14ac:dyDescent="0.25">
      <c r="J57" t="s">
        <v>101</v>
      </c>
      <c r="K57" t="s">
        <v>107</v>
      </c>
      <c r="L57" t="s">
        <v>102</v>
      </c>
    </row>
    <row r="58" spans="1:12" x14ac:dyDescent="0.25">
      <c r="J58" t="s">
        <v>109</v>
      </c>
      <c r="K58" t="s">
        <v>108</v>
      </c>
      <c r="L58" t="s">
        <v>110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topLeftCell="A7" zoomScaleNormal="100" workbookViewId="0">
      <selection activeCell="B17" sqref="B17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6.7109375" bestFit="1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131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2654.1086995962778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2511.2365127887751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2341.9311142702327</v>
      </c>
      <c r="L8" s="1">
        <f t="shared" ref="L8:L20" si="1">K8*TAN(J8/180*PI())</f>
        <v>102.25092067582067</v>
      </c>
      <c r="M8" s="1">
        <f t="shared" ref="M8:M20" si="2">Grundbruch_Rechteck($B$4*1.5,ATAN(TAN($B$5/180*PI())*1.2)*180/PI(),$B$6,$B$17,$B$16,$B$9,$B$10,J8,$F$15,$F$16,$F$5,$F$10,$F$18)/$E$30</f>
        <v>2211.648163690305</v>
      </c>
      <c r="N8" s="1">
        <f>M8*TAN(J8/180*PI())</f>
        <v>96.562644208597931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2061.5143627368634</v>
      </c>
      <c r="L9" s="1">
        <f t="shared" si="1"/>
        <v>180.35913643534511</v>
      </c>
      <c r="M9" s="1">
        <f t="shared" si="2"/>
        <v>1942.945042839495</v>
      </c>
      <c r="N9" s="1">
        <f t="shared" ref="N9:N21" si="3">M9*TAN(J9/180*PI())</f>
        <v>169.98566510234659</v>
      </c>
    </row>
    <row r="10" spans="1:20" x14ac:dyDescent="0.25">
      <c r="A10" t="s">
        <v>91</v>
      </c>
      <c r="B10" s="2">
        <v>6</v>
      </c>
      <c r="C10" t="s">
        <v>5</v>
      </c>
      <c r="D10" t="s">
        <v>130</v>
      </c>
      <c r="F10" s="2">
        <v>5</v>
      </c>
      <c r="G10" t="s">
        <v>3</v>
      </c>
      <c r="J10">
        <v>7.5</v>
      </c>
      <c r="K10" s="1">
        <f t="shared" si="0"/>
        <v>1809.2570007408071</v>
      </c>
      <c r="L10" s="1">
        <f t="shared" si="1"/>
        <v>238.19320292500814</v>
      </c>
      <c r="M10" s="1">
        <f t="shared" si="2"/>
        <v>1701.609594247125</v>
      </c>
      <c r="N10" s="1">
        <f t="shared" si="3"/>
        <v>224.02115300130922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1582.1160096591805</v>
      </c>
      <c r="L11" s="1">
        <f t="shared" si="1"/>
        <v>278.96973911372788</v>
      </c>
      <c r="M11" s="1">
        <f t="shared" si="2"/>
        <v>1484.6701485983569</v>
      </c>
      <c r="N11" s="1">
        <f t="shared" si="3"/>
        <v>261.78740465033633</v>
      </c>
    </row>
    <row r="12" spans="1:20" x14ac:dyDescent="0.25">
      <c r="J12">
        <v>12.5</v>
      </c>
      <c r="K12" s="1">
        <f t="shared" si="0"/>
        <v>1377.5107761930117</v>
      </c>
      <c r="L12" s="1">
        <f t="shared" si="1"/>
        <v>305.38678681512397</v>
      </c>
      <c r="M12" s="1">
        <f t="shared" si="2"/>
        <v>1289.6066514893128</v>
      </c>
      <c r="N12" s="1">
        <f t="shared" si="3"/>
        <v>285.89891154401454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1193.2455529753536</v>
      </c>
      <c r="L13" s="1">
        <f t="shared" si="1"/>
        <v>319.72918229177441</v>
      </c>
      <c r="M13" s="1">
        <f t="shared" si="2"/>
        <v>1114.2745288336203</v>
      </c>
      <c r="N13" s="1">
        <f t="shared" si="3"/>
        <v>298.56896014753829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1027.4462518018506</v>
      </c>
      <c r="L14" s="1">
        <f t="shared" si="1"/>
        <v>323.95255883137463</v>
      </c>
      <c r="M14" s="1">
        <f t="shared" si="2"/>
        <v>956.84260692309817</v>
      </c>
      <c r="N14" s="1">
        <f t="shared" si="3"/>
        <v>301.69131511066212</v>
      </c>
    </row>
    <row r="15" spans="1:20" x14ac:dyDescent="0.25">
      <c r="A15" t="s">
        <v>94</v>
      </c>
      <c r="B15" s="2">
        <v>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878.50835341048833</v>
      </c>
      <c r="L15" s="1">
        <f t="shared" si="1"/>
        <v>319.75089119563114</v>
      </c>
      <c r="M15" s="1">
        <f t="shared" si="2"/>
        <v>815.74192293801536</v>
      </c>
      <c r="N15" s="1">
        <f t="shared" si="3"/>
        <v>296.90577879251185</v>
      </c>
    </row>
    <row r="16" spans="1:20" x14ac:dyDescent="0.25">
      <c r="A16" t="s">
        <v>93</v>
      </c>
      <c r="B16" s="2">
        <v>0.5</v>
      </c>
      <c r="C16" t="s">
        <v>5</v>
      </c>
      <c r="D16" t="s">
        <v>60</v>
      </c>
      <c r="E16" t="s">
        <v>133</v>
      </c>
      <c r="F16" s="34">
        <f>IFERROR(F24/F26,0)</f>
        <v>0</v>
      </c>
      <c r="G16" t="s">
        <v>5</v>
      </c>
      <c r="J16">
        <v>22.5</v>
      </c>
      <c r="K16" s="1">
        <f t="shared" si="0"/>
        <v>745.05339916886032</v>
      </c>
      <c r="L16" s="1">
        <f t="shared" si="1"/>
        <v>308.61122262791719</v>
      </c>
      <c r="M16" s="1">
        <f t="shared" si="2"/>
        <v>689.62293316422677</v>
      </c>
      <c r="N16" s="1">
        <f t="shared" si="3"/>
        <v>285.65117184013718</v>
      </c>
    </row>
    <row r="17" spans="1:14" x14ac:dyDescent="0.25">
      <c r="A17" t="s">
        <v>95</v>
      </c>
      <c r="B17" s="5">
        <f>B15+B6*B16</f>
        <v>9</v>
      </c>
      <c r="C17" t="s">
        <v>4</v>
      </c>
      <c r="D17" t="s">
        <v>6</v>
      </c>
      <c r="E17" s="4" t="s">
        <v>134</v>
      </c>
      <c r="F17" s="35">
        <f>IFERROR(ATAN(F27/F26)*180/PI(),0)</f>
        <v>6.4287477488298554</v>
      </c>
      <c r="G17" t="s">
        <v>3</v>
      </c>
      <c r="J17">
        <v>25</v>
      </c>
      <c r="K17" s="1">
        <f t="shared" si="0"/>
        <v>625.89202652112181</v>
      </c>
      <c r="L17" s="1">
        <f t="shared" si="1"/>
        <v>291.85824514495056</v>
      </c>
      <c r="M17" s="1">
        <f t="shared" si="2"/>
        <v>577.31911601089939</v>
      </c>
      <c r="N17" s="1">
        <f t="shared" si="3"/>
        <v>269.20832499515643</v>
      </c>
    </row>
    <row r="18" spans="1:14" x14ac:dyDescent="0.25">
      <c r="D18" t="s">
        <v>20</v>
      </c>
      <c r="F18" s="36">
        <f>(F26^2+F27^2)^0.5</f>
        <v>357.24641355792505</v>
      </c>
      <c r="G18" t="s">
        <v>1</v>
      </c>
      <c r="J18">
        <v>30</v>
      </c>
      <c r="K18" s="1">
        <f t="shared" si="0"/>
        <v>426.44889860826078</v>
      </c>
      <c r="L18" s="1">
        <f t="shared" si="1"/>
        <v>246.21038640709878</v>
      </c>
      <c r="M18" s="1">
        <f t="shared" si="2"/>
        <v>390.21948173006905</v>
      </c>
      <c r="N18" s="1">
        <f t="shared" si="3"/>
        <v>225.29332281989161</v>
      </c>
    </row>
    <row r="19" spans="1:14" x14ac:dyDescent="0.25">
      <c r="J19">
        <v>35</v>
      </c>
      <c r="K19" s="1">
        <f t="shared" si="0"/>
        <v>273.30250043138165</v>
      </c>
      <c r="L19" s="1">
        <f t="shared" si="1"/>
        <v>191.36847101361587</v>
      </c>
      <c r="M19" s="1">
        <f t="shared" si="2"/>
        <v>247.64304209954008</v>
      </c>
      <c r="N19" s="1">
        <f t="shared" si="3"/>
        <v>173.40152486328248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160.80256174764165</v>
      </c>
      <c r="L20" s="1">
        <f t="shared" si="1"/>
        <v>134.92937025480788</v>
      </c>
      <c r="M20" s="1">
        <f t="shared" si="2"/>
        <v>143.94214456038111</v>
      </c>
      <c r="N20" s="1">
        <f t="shared" si="3"/>
        <v>120.78180041148249</v>
      </c>
    </row>
    <row r="21" spans="1:14" x14ac:dyDescent="0.25">
      <c r="A21" t="s">
        <v>58</v>
      </c>
      <c r="B21" s="38" t="s">
        <v>131</v>
      </c>
      <c r="E21" t="s">
        <v>81</v>
      </c>
      <c r="F21" s="33">
        <v>100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40</v>
      </c>
      <c r="G22" t="s">
        <v>1</v>
      </c>
    </row>
    <row r="23" spans="1:14" x14ac:dyDescent="0.25">
      <c r="A23" t="s">
        <v>89</v>
      </c>
      <c r="B23" s="15">
        <f>IF(B21="ja",0.5*B16*B16*B6*B22*B10,0)/1.4</f>
        <v>0</v>
      </c>
      <c r="C23" t="s">
        <v>1</v>
      </c>
      <c r="E23" t="s">
        <v>63</v>
      </c>
      <c r="F23" s="33">
        <v>0</v>
      </c>
      <c r="G23" t="s">
        <v>65</v>
      </c>
      <c r="K23" s="1"/>
      <c r="L23" s="1"/>
    </row>
    <row r="24" spans="1:14" x14ac:dyDescent="0.25">
      <c r="A24" s="19" t="s">
        <v>51</v>
      </c>
      <c r="E24" t="s">
        <v>64</v>
      </c>
      <c r="F24" s="33">
        <v>0</v>
      </c>
      <c r="G24" t="s">
        <v>65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VLOOKUP(B25,S4:T6,2,FALSE)*B9*B10*B11*25</f>
        <v>254.99999999999997</v>
      </c>
      <c r="C26" t="s">
        <v>1</v>
      </c>
      <c r="E26" t="s">
        <v>87</v>
      </c>
      <c r="F26" s="15">
        <f>F21+B26</f>
        <v>355</v>
      </c>
      <c r="G26" t="s">
        <v>1</v>
      </c>
      <c r="J26" t="s">
        <v>42</v>
      </c>
    </row>
    <row r="27" spans="1:14" x14ac:dyDescent="0.25">
      <c r="E27" t="s">
        <v>62</v>
      </c>
      <c r="F27" s="15">
        <f>F22-IF(B23&lt;F22,B23,F22)</f>
        <v>40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-8.7488663525924007E-2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Grundbruch_Rechteck(B4,B5,B6,B17,B16,B9,B10,F17,F15,F16,F5,F10,F18)</f>
        <v>1914.108301596621</v>
      </c>
      <c r="C31" t="s">
        <v>1</v>
      </c>
      <c r="D31" s="25" t="s">
        <v>86</v>
      </c>
      <c r="E31" s="26">
        <f>Grundbruch_Rechteck(B4*1.5,ATAN(TAN(B5/180*PI())*1.2)*180/PI(),B6,B17,B16,B9,B10,F17,F15,F16,F5,F10,F18)</f>
        <v>3243.3713013499146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215.67417482778831</v>
      </c>
      <c r="C32" t="s">
        <v>1</v>
      </c>
      <c r="D32" s="25" t="s">
        <v>26</v>
      </c>
      <c r="E32" s="26">
        <f>E31*TAN(F17/180*PI())</f>
        <v>365.45028747604675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B31/((B10-2*F16)*(B9-2*F15))</f>
        <v>159.50902513305175</v>
      </c>
      <c r="C34" t="s">
        <v>4</v>
      </c>
      <c r="D34" s="29" t="s">
        <v>79</v>
      </c>
      <c r="E34" s="30">
        <f>E31/((B10-2*F16)*(B9-2*F15))/E30</f>
        <v>150.15607876619976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-8.7488663525924007E-2</v>
      </c>
    </row>
    <row r="35" spans="1:12" x14ac:dyDescent="0.25">
      <c r="D35" s="32" t="s">
        <v>80</v>
      </c>
      <c r="E35" s="30">
        <f>F26/((B9-2*F15)*(B10-2*F16))</f>
        <v>29.583333333333332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355</v>
      </c>
      <c r="C38" s="44" t="s">
        <v>1</v>
      </c>
      <c r="D38" s="45" t="str">
        <f>IF(B38&lt;F38,"&lt;=","&gt;")</f>
        <v>&lt;=</v>
      </c>
      <c r="E38" s="46" t="s">
        <v>73</v>
      </c>
      <c r="F38" s="43">
        <f>(B31^2+B32^2)^0.5*COS((F10-F17)/180*PI())</f>
        <v>1925.621784522554</v>
      </c>
      <c r="G38" s="47" t="s">
        <v>1</v>
      </c>
      <c r="J38" t="s">
        <v>44</v>
      </c>
      <c r="K38">
        <f>(1/2-F15/B9)-1/2</f>
        <v>0</v>
      </c>
      <c r="L38">
        <f>-(1/2-F15/B9)*TAN(F10/180*PI())</f>
        <v>-4.3744331762962003E-2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0.11196753412197455</v>
      </c>
      <c r="L39">
        <f>L38+COS(F17/180*PI())</f>
        <v>0.94996753356956209</v>
      </c>
    </row>
    <row r="40" spans="1:12" x14ac:dyDescent="0.25">
      <c r="A40" s="39" t="s">
        <v>112</v>
      </c>
      <c r="B40" t="str">
        <f>IF(B21="nein","","(Seitlicher Erddruck auf Widerstandseite)")</f>
        <v/>
      </c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355</v>
      </c>
      <c r="C41" t="s">
        <v>1</v>
      </c>
      <c r="D41" t="s">
        <v>6</v>
      </c>
      <c r="F41" s="15">
        <f>IFERROR(ATAN(B42/B41)*180/PI(),0)</f>
        <v>6.4287477488298554</v>
      </c>
      <c r="G41" s="47" t="s">
        <v>3</v>
      </c>
      <c r="J41" t="s">
        <v>46</v>
      </c>
      <c r="K41" s="15">
        <f>K28</f>
        <v>-0.5</v>
      </c>
      <c r="L41">
        <f>B16/B9+L28</f>
        <v>0.25</v>
      </c>
    </row>
    <row r="42" spans="1:12" x14ac:dyDescent="0.25">
      <c r="A42" s="44" t="s">
        <v>129</v>
      </c>
      <c r="B42" s="15">
        <f>F22</f>
        <v>40</v>
      </c>
      <c r="C42" t="s">
        <v>1</v>
      </c>
      <c r="D42" t="s">
        <v>130</v>
      </c>
      <c r="E42" s="44"/>
      <c r="F42" s="61">
        <f>F10</f>
        <v>5</v>
      </c>
      <c r="G42" s="47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126</v>
      </c>
      <c r="B44" s="51">
        <f>(B41^2+B42^2)^0.5*SIN((F41-F42)/180*PI())</f>
        <v>8.9074992482511739</v>
      </c>
      <c r="C44" s="44" t="s">
        <v>1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72.680447524118321</v>
      </c>
      <c r="G44" s="52" t="s">
        <v>1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.75" x14ac:dyDescent="0.35">
      <c r="B48" s="21" t="s">
        <v>117</v>
      </c>
      <c r="C48" s="55" t="s">
        <v>114</v>
      </c>
      <c r="D48" s="21" t="s">
        <v>118</v>
      </c>
      <c r="E48" s="45" t="s">
        <v>116</v>
      </c>
      <c r="F48" s="53">
        <f>1/9</f>
        <v>0.1111111111111111</v>
      </c>
    </row>
    <row r="49" spans="1:12" x14ac:dyDescent="0.25">
      <c r="B49" s="57">
        <f>(F15/B9)^2</f>
        <v>0</v>
      </c>
      <c r="C49" s="55" t="s">
        <v>114</v>
      </c>
      <c r="D49" s="57">
        <f>(F16/B10)^2</f>
        <v>0</v>
      </c>
      <c r="E49" s="56" t="str">
        <f>IF(B49+D49&lt;1/100,"&lt;1/100","= 1/"&amp;ROUND(1/(B49+D49),1))&amp;" "&amp;IF(B49+D49&gt;F49,"&gt;","&lt;=")</f>
        <v>&lt;1/100 &lt;=</v>
      </c>
      <c r="F49" s="53">
        <f>F48</f>
        <v>0.1111111111111111</v>
      </c>
    </row>
    <row r="50" spans="1:12" x14ac:dyDescent="0.25">
      <c r="A50" t="s">
        <v>111</v>
      </c>
      <c r="J50" t="s">
        <v>96</v>
      </c>
    </row>
    <row r="51" spans="1:12" x14ac:dyDescent="0.25">
      <c r="J51" t="s">
        <v>97</v>
      </c>
    </row>
    <row r="52" spans="1:12" x14ac:dyDescent="0.25">
      <c r="A52" t="s">
        <v>47</v>
      </c>
      <c r="D52" t="s">
        <v>76</v>
      </c>
      <c r="J52" t="s">
        <v>101</v>
      </c>
      <c r="L52" t="s">
        <v>102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98</v>
      </c>
      <c r="L53" t="s">
        <v>103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0.5244010137592181</v>
      </c>
      <c r="D54" s="15">
        <f>$B$34*C54</f>
        <v>83.646694483516939</v>
      </c>
      <c r="E54" t="s">
        <v>4</v>
      </c>
      <c r="J54" t="s">
        <v>99</v>
      </c>
      <c r="L54" t="s">
        <v>104</v>
      </c>
    </row>
    <row r="55" spans="1:12" x14ac:dyDescent="0.25">
      <c r="A55" t="s">
        <v>69</v>
      </c>
      <c r="C55" s="17">
        <f>1-Grundbruch_Rechteck(B4,B5,0,B17,B16,B9,B10,F17,F15,F16,F5,F10,F18)/Grundbruch_Rechteck(B4,B5,B6,B17,B16,B9,B10,F17,F15,F16,F5,F10,F18)</f>
        <v>0.4755989862407819</v>
      </c>
      <c r="D55" s="15">
        <f>$B$34*C55</f>
        <v>75.862330649534812</v>
      </c>
      <c r="E55" t="s">
        <v>4</v>
      </c>
      <c r="J55" t="s">
        <v>100</v>
      </c>
      <c r="L55" t="s">
        <v>105</v>
      </c>
    </row>
    <row r="56" spans="1:12" x14ac:dyDescent="0.25">
      <c r="A56" t="s">
        <v>75</v>
      </c>
      <c r="C56" s="22">
        <f>SUM(C53:C55)</f>
        <v>1</v>
      </c>
      <c r="D56" s="15">
        <f>$B$34*C56</f>
        <v>159.50902513305175</v>
      </c>
      <c r="E56" t="s">
        <v>90</v>
      </c>
    </row>
    <row r="57" spans="1:12" x14ac:dyDescent="0.25">
      <c r="J57" t="s">
        <v>106</v>
      </c>
    </row>
    <row r="58" spans="1:12" x14ac:dyDescent="0.25">
      <c r="J58" t="s">
        <v>101</v>
      </c>
      <c r="K58" t="s">
        <v>107</v>
      </c>
      <c r="L58" t="s">
        <v>102</v>
      </c>
    </row>
    <row r="59" spans="1:12" x14ac:dyDescent="0.25">
      <c r="J59" t="s">
        <v>109</v>
      </c>
      <c r="K59" t="s">
        <v>108</v>
      </c>
      <c r="L59" t="s">
        <v>110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2018-02-01T16:26:49Z</dcterms:modified>
</cp:coreProperties>
</file>